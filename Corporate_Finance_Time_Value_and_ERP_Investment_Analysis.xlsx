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IB\Term 3\Cf\"/>
    </mc:Choice>
  </mc:AlternateContent>
  <xr:revisionPtr revIDLastSave="0" documentId="13_ncr:1_{1B7238BE-1374-4040-80B8-01B857D58273}" xr6:coauthVersionLast="47" xr6:coauthVersionMax="47" xr10:uidLastSave="{00000000-0000-0000-0000-000000000000}"/>
  <bookViews>
    <workbookView xWindow="-108" yWindow="-108" windowWidth="23256" windowHeight="12456" tabRatio="873" activeTab="3" xr2:uid="{187535B4-8B80-4334-AD68-BC8F9580E5E3}"/>
  </bookViews>
  <sheets>
    <sheet name="25PGDM243 Mahindra &amp; mahindra " sheetId="1" r:id="rId1"/>
    <sheet name="Time Vaule" sheetId="2" r:id="rId2"/>
    <sheet name="243 Case Study Vikas Emporium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E9" i="4"/>
  <c r="M13" i="3"/>
  <c r="L13" i="3"/>
  <c r="K13" i="3"/>
  <c r="M6" i="3"/>
  <c r="M7" i="3" s="1"/>
  <c r="L6" i="3"/>
  <c r="L7" i="3" s="1"/>
  <c r="K6" i="3"/>
  <c r="K7" i="3" s="1"/>
  <c r="F31" i="3"/>
  <c r="E31" i="3"/>
  <c r="D31" i="3"/>
  <c r="F22" i="3"/>
  <c r="F23" i="3"/>
  <c r="F24" i="3"/>
  <c r="F25" i="3"/>
  <c r="F26" i="3"/>
  <c r="F27" i="3"/>
  <c r="F28" i="3"/>
  <c r="F29" i="3"/>
  <c r="F30" i="3"/>
  <c r="F21" i="3"/>
  <c r="E22" i="3"/>
  <c r="E23" i="3"/>
  <c r="E24" i="3"/>
  <c r="E25" i="3"/>
  <c r="E26" i="3"/>
  <c r="E27" i="3"/>
  <c r="E28" i="3"/>
  <c r="E29" i="3"/>
  <c r="E30" i="3"/>
  <c r="E21" i="3"/>
  <c r="D22" i="3"/>
  <c r="D23" i="3"/>
  <c r="D24" i="3"/>
  <c r="D25" i="3"/>
  <c r="D26" i="3"/>
  <c r="D27" i="3"/>
  <c r="D28" i="3"/>
  <c r="D29" i="3"/>
  <c r="D30" i="3"/>
  <c r="D21" i="3"/>
  <c r="F15" i="3"/>
  <c r="E15" i="3"/>
  <c r="D15" i="3"/>
  <c r="C15" i="3"/>
  <c r="E5" i="3"/>
  <c r="F6" i="3"/>
  <c r="F7" i="3"/>
  <c r="F8" i="3"/>
  <c r="F9" i="3"/>
  <c r="F10" i="3"/>
  <c r="F11" i="3"/>
  <c r="F12" i="3"/>
  <c r="F13" i="3"/>
  <c r="F14" i="3"/>
  <c r="F5" i="3"/>
  <c r="E6" i="3"/>
  <c r="E7" i="3"/>
  <c r="E8" i="3"/>
  <c r="E9" i="3"/>
  <c r="E10" i="3"/>
  <c r="E11" i="3"/>
  <c r="E12" i="3"/>
  <c r="E13" i="3"/>
  <c r="E14" i="3"/>
  <c r="D5" i="3"/>
  <c r="D6" i="3"/>
  <c r="D7" i="3"/>
  <c r="D8" i="3"/>
  <c r="D9" i="3"/>
  <c r="D10" i="3"/>
  <c r="D11" i="3"/>
  <c r="D12" i="3"/>
  <c r="D13" i="3"/>
  <c r="D14" i="3"/>
  <c r="K8" i="2"/>
  <c r="H8" i="2"/>
  <c r="E8" i="2"/>
  <c r="B8" i="2"/>
  <c r="B27" i="2"/>
  <c r="K18" i="2"/>
  <c r="H18" i="2"/>
  <c r="E18" i="2"/>
  <c r="B18" i="2"/>
  <c r="N2" i="2"/>
  <c r="K7" i="2"/>
  <c r="H7" i="2"/>
  <c r="E7" i="2"/>
  <c r="B7" i="2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G2" i="1" l="1"/>
  <c r="H2" i="1"/>
  <c r="K2" i="1"/>
  <c r="K4" i="1" s="1"/>
  <c r="K7" i="1"/>
  <c r="K8" i="1" s="1"/>
  <c r="F2" i="1"/>
  <c r="K3" i="1" s="1"/>
  <c r="K6" i="1" s="1"/>
</calcChain>
</file>

<file path=xl/sharedStrings.xml><?xml version="1.0" encoding="utf-8"?>
<sst xmlns="http://schemas.openxmlformats.org/spreadsheetml/2006/main" count="134" uniqueCount="60">
  <si>
    <t>DATE</t>
  </si>
  <si>
    <t xml:space="preserve">Close Nifty 50 </t>
  </si>
  <si>
    <t>Return Nifty 50</t>
  </si>
  <si>
    <t>Beta Risk</t>
  </si>
  <si>
    <t>Total Risk Company</t>
  </si>
  <si>
    <t>Total Market Risk</t>
  </si>
  <si>
    <t>Rate of return per period(Average market Return)</t>
  </si>
  <si>
    <t>Beta</t>
  </si>
  <si>
    <t>Annualised Return for Market(Rm)</t>
  </si>
  <si>
    <t>Risk Free Rate of Return(Rf)</t>
  </si>
  <si>
    <t>6.7 standard</t>
  </si>
  <si>
    <t>Expected Return/ Cost of Equity</t>
  </si>
  <si>
    <t>Risk</t>
  </si>
  <si>
    <t>Annualised Risk</t>
  </si>
  <si>
    <t>CLOSE  M&amp;M</t>
  </si>
  <si>
    <t>Return M&amp;M</t>
  </si>
  <si>
    <t>PV</t>
  </si>
  <si>
    <t xml:space="preserve">Rate </t>
  </si>
  <si>
    <t>time</t>
  </si>
  <si>
    <t>FV</t>
  </si>
  <si>
    <t>Q2.</t>
  </si>
  <si>
    <t>Q1.</t>
  </si>
  <si>
    <t>Q3.</t>
  </si>
  <si>
    <t>Q4.</t>
  </si>
  <si>
    <t>Q5.</t>
  </si>
  <si>
    <t>Calculate PV</t>
  </si>
  <si>
    <t>To Calculate FV</t>
  </si>
  <si>
    <t>Q6.</t>
  </si>
  <si>
    <t>p1</t>
  </si>
  <si>
    <t>p2</t>
  </si>
  <si>
    <t>p3</t>
  </si>
  <si>
    <t>p4</t>
  </si>
  <si>
    <t>Q7</t>
  </si>
  <si>
    <t>Alternative 1 - Cash flow for Lumsum ERP payment</t>
  </si>
  <si>
    <t>Year/Time</t>
  </si>
  <si>
    <t>Maintenance</t>
  </si>
  <si>
    <t>Cash Flow type</t>
  </si>
  <si>
    <t>Lumpsum payment</t>
  </si>
  <si>
    <t>Cash Flow</t>
  </si>
  <si>
    <t>Present Value of Cash flow @7%</t>
  </si>
  <si>
    <t>Present value of cash flow at 8 %</t>
  </si>
  <si>
    <t>Present value of cash flow at 9 %</t>
  </si>
  <si>
    <t>Sum of Present Value at Time 0</t>
  </si>
  <si>
    <t>Annual Payments</t>
  </si>
  <si>
    <t>-</t>
  </si>
  <si>
    <t>Alternative 2 - Cash flow for Annual payment</t>
  </si>
  <si>
    <t xml:space="preserve">warehouse </t>
  </si>
  <si>
    <t>Growth</t>
  </si>
  <si>
    <t>maintenance (1 year of indefinite)</t>
  </si>
  <si>
    <t>Present value of Cash Flow at 7%</t>
  </si>
  <si>
    <t>Present value of Cash Flow at 8%</t>
  </si>
  <si>
    <t>Present value of Cash Flow at 9%</t>
  </si>
  <si>
    <t xml:space="preserve">Alternative 2 </t>
  </si>
  <si>
    <t>Lease rent payment</t>
  </si>
  <si>
    <t>Alternative 1 Yearly</t>
  </si>
  <si>
    <t>Cash Flow Type</t>
  </si>
  <si>
    <t>Year /Time</t>
  </si>
  <si>
    <t>Perpetual Year1 to ♾️</t>
  </si>
  <si>
    <t xml:space="preserve">Discount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</si>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</sst>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Baskerville Old Face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4" fontId="0" fillId="0" borderId="0" xfId="0" applyNumberFormat="1"/>
    <xf numFmtId="0" fontId="1" fillId="2" borderId="1" xfId="1" applyBorder="1"/>
    <xf numFmtId="0" fontId="3" fillId="4" borderId="3" xfId="3" applyBorder="1"/>
    <xf numFmtId="0" fontId="2" fillId="3" borderId="3" xfId="2" applyBorder="1"/>
    <xf numFmtId="0" fontId="3" fillId="4" borderId="4" xfId="3" applyBorder="1"/>
    <xf numFmtId="0" fontId="2" fillId="3" borderId="4" xfId="2" applyBorder="1"/>
    <xf numFmtId="0" fontId="1" fillId="2" borderId="2" xfId="1" applyBorder="1"/>
    <xf numFmtId="15" fontId="0" fillId="0" borderId="3" xfId="0" applyNumberFormat="1" applyBorder="1"/>
    <xf numFmtId="4" fontId="0" fillId="0" borderId="3" xfId="0" applyNumberFormat="1" applyBorder="1"/>
    <xf numFmtId="0" fontId="0" fillId="0" borderId="3" xfId="0" applyBorder="1"/>
    <xf numFmtId="0" fontId="1" fillId="5" borderId="3" xfId="4" applyBorder="1"/>
    <xf numFmtId="0" fontId="1" fillId="6" borderId="3" xfId="5" applyBorder="1"/>
    <xf numFmtId="8" fontId="1" fillId="5" borderId="3" xfId="4" applyNumberFormat="1" applyBorder="1"/>
    <xf numFmtId="0" fontId="4" fillId="8" borderId="3" xfId="7" applyBorder="1"/>
    <xf numFmtId="0" fontId="4" fillId="8" borderId="3" xfId="7" applyBorder="1" applyAlignment="1">
      <alignment wrapText="1"/>
    </xf>
    <xf numFmtId="0" fontId="1" fillId="9" borderId="3" xfId="8" applyBorder="1"/>
    <xf numFmtId="44" fontId="1" fillId="9" borderId="3" xfId="8" applyNumberFormat="1" applyBorder="1"/>
    <xf numFmtId="44" fontId="4" fillId="8" borderId="3" xfId="7" applyNumberFormat="1" applyBorder="1" applyAlignment="1"/>
    <xf numFmtId="44" fontId="4" fillId="8" borderId="3" xfId="7" applyNumberFormat="1" applyBorder="1"/>
    <xf numFmtId="6" fontId="1" fillId="9" borderId="3" xfId="8" applyNumberFormat="1" applyBorder="1"/>
    <xf numFmtId="0" fontId="5" fillId="8" borderId="3" xfId="7" applyFont="1" applyBorder="1"/>
    <xf numFmtId="0" fontId="5" fillId="8" borderId="3" xfId="7" applyFont="1" applyBorder="1" applyAlignment="1">
      <alignment wrapText="1"/>
    </xf>
    <xf numFmtId="9" fontId="4" fillId="8" borderId="3" xfId="7" applyNumberFormat="1" applyBorder="1"/>
    <xf numFmtId="44" fontId="1" fillId="9" borderId="3" xfId="9" applyFill="1" applyBorder="1"/>
    <xf numFmtId="44" fontId="4" fillId="8" borderId="3" xfId="9" applyFont="1" applyFill="1" applyBorder="1"/>
    <xf numFmtId="9" fontId="4" fillId="8" borderId="3" xfId="9" applyNumberFormat="1" applyFont="1" applyFill="1" applyBorder="1"/>
    <xf numFmtId="0" fontId="4" fillId="8" borderId="3" xfId="7" applyBorder="1" applyAlignment="1">
      <alignment horizontal="center" vertical="center"/>
    </xf>
    <xf numFmtId="0" fontId="1" fillId="9" borderId="3" xfId="8" applyBorder="1" applyAlignment="1">
      <alignment wrapText="1"/>
    </xf>
    <xf numFmtId="0" fontId="4" fillId="7" borderId="3" xfId="6" applyBorder="1" applyAlignment="1">
      <alignment horizontal="center"/>
    </xf>
    <xf numFmtId="0" fontId="4" fillId="8" borderId="3" xfId="7" applyBorder="1" applyAlignment="1">
      <alignment horizontal="center"/>
    </xf>
    <xf numFmtId="0" fontId="4" fillId="8" borderId="5" xfId="7" applyBorder="1" applyAlignment="1">
      <alignment horizontal="center"/>
    </xf>
    <xf numFmtId="0" fontId="4" fillId="8" borderId="4" xfId="7" applyBorder="1" applyAlignment="1">
      <alignment horizontal="center"/>
    </xf>
    <xf numFmtId="0" fontId="4" fillId="7" borderId="6" xfId="6" applyBorder="1" applyAlignment="1">
      <alignment horizontal="center" vertical="center"/>
    </xf>
    <xf numFmtId="0" fontId="1" fillId="5" borderId="3" xfId="4" applyBorder="1" applyAlignment="1">
      <alignment horizontal="center"/>
    </xf>
    <xf numFmtId="9" fontId="0" fillId="0" borderId="0" xfId="0" applyNumberFormat="1"/>
    <xf numFmtId="44" fontId="0" fillId="0" borderId="0" xfId="9" applyFont="1"/>
    <xf numFmtId="8" fontId="0" fillId="0" borderId="0" xfId="0" applyNumberFormat="1"/>
  </cellXfs>
  <cellStyles count="10">
    <cellStyle name="20% - Accent2" xfId="1" builtinId="34"/>
    <cellStyle name="40% - Accent1" xfId="4" builtinId="31"/>
    <cellStyle name="40% - Accent2" xfId="8" builtinId="35"/>
    <cellStyle name="60% - Accent2" xfId="5" builtinId="36"/>
    <cellStyle name="Accent1" xfId="6" builtinId="29"/>
    <cellStyle name="Accent2" xfId="7" builtinId="33"/>
    <cellStyle name="Currency" xfId="9" builtinId="4"/>
    <cellStyle name="Input" xfId="3" builtinId="20"/>
    <cellStyle name="Neutral" xfId="2" builtinId="28"/>
    <cellStyle name="Normal" xfId="0" builtinId="0"/>
  </cellStyles>
  <dxfs count="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B41655-CC71-4FC6-8B34-D65C2BD4437F}" name="Table4" displayName="Table4" ref="A1:E248" totalsRowShown="0">
  <autoFilter ref="A1:E248" xr:uid="{33B41655-CC71-4FC6-8B34-D65C2BD4437F}"/>
  <tableColumns count="5">
    <tableColumn id="1" xr3:uid="{02BBF86D-E22A-46E6-A05D-43B2B03D2F90}" name="DATE" dataDxfId="4"/>
    <tableColumn id="2" xr3:uid="{469D249E-AAA2-49A3-ABE3-BAB2A938A587}" name="CLOSE  M&amp;M" dataDxfId="3"/>
    <tableColumn id="3" xr3:uid="{871D2C12-3D49-48DA-A394-7C11E5A78181}" name="Close Nifty 50 " dataDxfId="2"/>
    <tableColumn id="4" xr3:uid="{A71BBD1F-E3FA-4A79-918D-0F9E1082B41A}" name="Return M&amp;M" dataDxfId="1"/>
    <tableColumn id="5" xr3:uid="{BB6C1FC8-368E-4957-93D8-A34CA2C7E2BB}" name="Return Nifty 50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C54E-51F8-40BA-AB13-E7BAD1D4EEC6}">
  <sheetPr>
    <tabColor rgb="FFC00000"/>
  </sheetPr>
  <dimension ref="A1:L249"/>
  <sheetViews>
    <sheetView zoomScaleNormal="100" workbookViewId="0">
      <selection activeCell="G20" sqref="G20"/>
    </sheetView>
  </sheetViews>
  <sheetFormatPr defaultRowHeight="14.4" x14ac:dyDescent="0.3"/>
  <cols>
    <col min="1" max="1" width="9.5546875" bestFit="1" customWidth="1"/>
    <col min="2" max="2" width="12.44140625" customWidth="1"/>
    <col min="3" max="3" width="14.109375" customWidth="1"/>
    <col min="4" max="4" width="12" customWidth="1"/>
    <col min="5" max="5" width="14.5546875" customWidth="1"/>
    <col min="6" max="6" width="12" bestFit="1" customWidth="1"/>
    <col min="7" max="7" width="16.5546875" bestFit="1" customWidth="1"/>
    <col min="8" max="8" width="14.5546875" bestFit="1" customWidth="1"/>
    <col min="10" max="10" width="40.21875" bestFit="1" customWidth="1"/>
    <col min="11" max="11" width="12" bestFit="1" customWidth="1"/>
    <col min="12" max="12" width="11" bestFit="1" customWidth="1"/>
  </cols>
  <sheetData>
    <row r="1" spans="1:12" x14ac:dyDescent="0.3">
      <c r="A1" t="s">
        <v>0</v>
      </c>
      <c r="B1" t="s">
        <v>14</v>
      </c>
      <c r="C1" t="s">
        <v>1</v>
      </c>
      <c r="D1" t="s">
        <v>15</v>
      </c>
      <c r="E1" t="s">
        <v>2</v>
      </c>
      <c r="F1" s="2" t="s">
        <v>3</v>
      </c>
      <c r="G1" s="2" t="s">
        <v>4</v>
      </c>
      <c r="H1" s="2" t="s">
        <v>5</v>
      </c>
    </row>
    <row r="2" spans="1:12" x14ac:dyDescent="0.3">
      <c r="A2" s="8">
        <v>46045</v>
      </c>
      <c r="B2" s="9">
        <v>3543.4</v>
      </c>
      <c r="C2" s="10">
        <v>25048.65</v>
      </c>
      <c r="D2" s="10">
        <f>(B2-B3)/B3</f>
        <v>-8.4786076055627865E-3</v>
      </c>
      <c r="E2" s="10">
        <f>(C2-C3)/C3</f>
        <v>-9.5393813340503512E-3</v>
      </c>
      <c r="F2" s="7">
        <f>_xlfn.COVARIANCE.S(D2:D248,E2:E248)/_xlfn.VAR.P(E2:E248)</f>
        <v>1.274209583614095</v>
      </c>
      <c r="G2" s="2">
        <f>_xlfn.STDEV.S(D2:D248)</f>
        <v>1.6188921957650596E-2</v>
      </c>
      <c r="H2" s="2">
        <f>_xlfn.STDEV.S(E2:E248)</f>
        <v>7.2468043098742677E-3</v>
      </c>
      <c r="J2" s="3" t="s">
        <v>6</v>
      </c>
      <c r="K2" s="5">
        <f>AVERAGE(E2:E248)</f>
        <v>4.0332775172367266E-4</v>
      </c>
    </row>
    <row r="3" spans="1:12" x14ac:dyDescent="0.3">
      <c r="A3" s="8">
        <v>46044</v>
      </c>
      <c r="B3" s="9">
        <v>3573.7</v>
      </c>
      <c r="C3" s="10">
        <v>25289.9</v>
      </c>
      <c r="D3" s="10">
        <f t="shared" ref="D3:D66" si="0">(B3-B4)/B4</f>
        <v>5.7411420369796063E-3</v>
      </c>
      <c r="E3" s="10">
        <f t="shared" ref="E3:E66" si="1">(C3-C4)/C4</f>
        <v>5.2628440822816832E-3</v>
      </c>
      <c r="J3" s="4" t="s">
        <v>7</v>
      </c>
      <c r="K3" s="6">
        <f>F2</f>
        <v>1.274209583614095</v>
      </c>
    </row>
    <row r="4" spans="1:12" x14ac:dyDescent="0.3">
      <c r="A4" s="8">
        <v>46043</v>
      </c>
      <c r="B4" s="9">
        <v>3553.3</v>
      </c>
      <c r="C4" s="10">
        <v>25157.5</v>
      </c>
      <c r="D4" s="10">
        <f t="shared" si="0"/>
        <v>-1.1806043569922188E-3</v>
      </c>
      <c r="E4" s="10">
        <f t="shared" si="1"/>
        <v>-2.9723570791637768E-3</v>
      </c>
      <c r="J4" s="4" t="s">
        <v>8</v>
      </c>
      <c r="K4" s="6">
        <f>((1+K2)^250)-1</f>
        <v>0.10606824909349299</v>
      </c>
    </row>
    <row r="5" spans="1:12" x14ac:dyDescent="0.3">
      <c r="A5" s="8">
        <v>46042</v>
      </c>
      <c r="B5" s="9">
        <v>3557.5</v>
      </c>
      <c r="C5" s="10">
        <v>25232.5</v>
      </c>
      <c r="D5" s="10">
        <f t="shared" si="0"/>
        <v>-2.7314485700224229E-2</v>
      </c>
      <c r="E5" s="10">
        <f t="shared" si="1"/>
        <v>-1.3796877137441129E-2</v>
      </c>
      <c r="J5" s="4" t="s">
        <v>9</v>
      </c>
      <c r="K5" s="6">
        <v>6.7000000000000004E-2</v>
      </c>
      <c r="L5" t="s">
        <v>10</v>
      </c>
    </row>
    <row r="6" spans="1:12" x14ac:dyDescent="0.3">
      <c r="A6" s="8">
        <v>46041</v>
      </c>
      <c r="B6" s="9">
        <v>3657.4</v>
      </c>
      <c r="C6" s="10">
        <v>25585.5</v>
      </c>
      <c r="D6" s="10">
        <f t="shared" si="0"/>
        <v>-2.1868678585089038E-4</v>
      </c>
      <c r="E6" s="10">
        <f t="shared" si="1"/>
        <v>-4.2363398957357768E-3</v>
      </c>
      <c r="J6" s="4" t="s">
        <v>11</v>
      </c>
      <c r="K6" s="6">
        <f>K5+(K3*(K4-K5))</f>
        <v>0.11678113740995144</v>
      </c>
    </row>
    <row r="7" spans="1:12" x14ac:dyDescent="0.3">
      <c r="A7" s="8">
        <v>46038</v>
      </c>
      <c r="B7" s="9">
        <v>3658.2</v>
      </c>
      <c r="C7" s="10">
        <v>25694.35</v>
      </c>
      <c r="D7" s="10">
        <f t="shared" si="0"/>
        <v>2.3838882038634932E-3</v>
      </c>
      <c r="E7" s="10">
        <f t="shared" si="1"/>
        <v>1.1201764229162772E-3</v>
      </c>
      <c r="J7" s="3" t="s">
        <v>12</v>
      </c>
      <c r="K7" s="5">
        <f>_xlfn.STDEV.S(E2:E248)</f>
        <v>7.2468043098742677E-3</v>
      </c>
    </row>
    <row r="8" spans="1:12" x14ac:dyDescent="0.3">
      <c r="A8" s="8">
        <v>46036</v>
      </c>
      <c r="B8" s="9">
        <v>3649.5</v>
      </c>
      <c r="C8" s="10">
        <v>25665.599999999999</v>
      </c>
      <c r="D8" s="10">
        <f t="shared" si="0"/>
        <v>-3.2773453502662844E-3</v>
      </c>
      <c r="E8" s="10">
        <f t="shared" si="1"/>
        <v>-2.5920729977499382E-3</v>
      </c>
      <c r="J8" s="3" t="s">
        <v>13</v>
      </c>
      <c r="K8" s="5">
        <f>K7*SQRT(250)</f>
        <v>0.11458203688363663</v>
      </c>
    </row>
    <row r="9" spans="1:12" x14ac:dyDescent="0.3">
      <c r="A9" s="8">
        <v>46035</v>
      </c>
      <c r="B9" s="9">
        <v>3661.5</v>
      </c>
      <c r="C9" s="10">
        <v>25732.3</v>
      </c>
      <c r="D9" s="10">
        <f t="shared" si="0"/>
        <v>-5.5676262900597505E-3</v>
      </c>
      <c r="E9" s="10">
        <f t="shared" si="1"/>
        <v>-2.2469731778482459E-3</v>
      </c>
    </row>
    <row r="10" spans="1:12" x14ac:dyDescent="0.3">
      <c r="A10" s="8">
        <v>46034</v>
      </c>
      <c r="B10" s="9">
        <v>3682</v>
      </c>
      <c r="C10" s="10">
        <v>25790.25</v>
      </c>
      <c r="D10" s="10">
        <f t="shared" si="0"/>
        <v>1.2781116580099035E-3</v>
      </c>
      <c r="E10" s="10">
        <f t="shared" si="1"/>
        <v>4.1641845090000405E-3</v>
      </c>
    </row>
    <row r="11" spans="1:12" x14ac:dyDescent="0.3">
      <c r="A11" s="8">
        <v>46031</v>
      </c>
      <c r="B11" s="9">
        <v>3677.3</v>
      </c>
      <c r="C11" s="10">
        <v>25683.3</v>
      </c>
      <c r="D11" s="10">
        <f t="shared" si="0"/>
        <v>-1.2540279269602529E-2</v>
      </c>
      <c r="E11" s="10">
        <f t="shared" si="1"/>
        <v>-7.4796584592019232E-3</v>
      </c>
    </row>
    <row r="12" spans="1:12" x14ac:dyDescent="0.3">
      <c r="A12" s="8">
        <v>46030</v>
      </c>
      <c r="B12" s="9">
        <v>3724</v>
      </c>
      <c r="C12" s="10">
        <v>25876.85</v>
      </c>
      <c r="D12" s="10">
        <f t="shared" si="0"/>
        <v>-6.6154502774221566E-3</v>
      </c>
      <c r="E12" s="10">
        <f t="shared" si="1"/>
        <v>-1.009534921530566E-2</v>
      </c>
    </row>
    <row r="13" spans="1:12" x14ac:dyDescent="0.3">
      <c r="A13" s="8">
        <v>46029</v>
      </c>
      <c r="B13" s="9">
        <v>3748.8</v>
      </c>
      <c r="C13" s="10">
        <v>26140.75</v>
      </c>
      <c r="D13" s="10">
        <f t="shared" si="0"/>
        <v>-9.7210481825865721E-3</v>
      </c>
      <c r="E13" s="10">
        <f t="shared" si="1"/>
        <v>-1.4496518161711898E-3</v>
      </c>
    </row>
    <row r="14" spans="1:12" x14ac:dyDescent="0.3">
      <c r="A14" s="8">
        <v>46028</v>
      </c>
      <c r="B14" s="9">
        <v>3785.6</v>
      </c>
      <c r="C14" s="10">
        <v>26178.7</v>
      </c>
      <c r="D14" s="10">
        <f t="shared" si="0"/>
        <v>-1.2400073872781239E-3</v>
      </c>
      <c r="E14" s="10">
        <f t="shared" si="1"/>
        <v>-2.7275878751861328E-3</v>
      </c>
    </row>
    <row r="15" spans="1:12" x14ac:dyDescent="0.3">
      <c r="A15" s="8">
        <v>46027</v>
      </c>
      <c r="B15" s="9">
        <v>3790.3</v>
      </c>
      <c r="C15" s="10">
        <v>26250.3</v>
      </c>
      <c r="D15" s="10">
        <f t="shared" si="0"/>
        <v>-3.1822007153376576E-3</v>
      </c>
      <c r="E15" s="10">
        <f t="shared" si="1"/>
        <v>-2.9720588486642826E-3</v>
      </c>
    </row>
    <row r="16" spans="1:12" x14ac:dyDescent="0.3">
      <c r="A16" s="8">
        <v>46024</v>
      </c>
      <c r="B16" s="9">
        <v>3802.4</v>
      </c>
      <c r="C16" s="10">
        <v>26328.55</v>
      </c>
      <c r="D16" s="10">
        <f t="shared" si="0"/>
        <v>1.1007710715235333E-2</v>
      </c>
      <c r="E16" s="10">
        <f t="shared" si="1"/>
        <v>6.9607653782238956E-3</v>
      </c>
    </row>
    <row r="17" spans="1:5" x14ac:dyDescent="0.3">
      <c r="A17" s="8">
        <v>46023</v>
      </c>
      <c r="B17" s="9">
        <v>3761</v>
      </c>
      <c r="C17" s="10">
        <v>26146.55</v>
      </c>
      <c r="D17" s="10">
        <f t="shared" si="0"/>
        <v>1.3965275531111879E-2</v>
      </c>
      <c r="E17" s="10">
        <f t="shared" si="1"/>
        <v>6.4868960871964092E-4</v>
      </c>
    </row>
    <row r="18" spans="1:5" x14ac:dyDescent="0.3">
      <c r="A18" s="8">
        <v>46022</v>
      </c>
      <c r="B18" s="9">
        <v>3709.2</v>
      </c>
      <c r="C18" s="10">
        <v>26129.599999999999</v>
      </c>
      <c r="D18" s="10">
        <f t="shared" si="0"/>
        <v>1.3359560691746477E-2</v>
      </c>
      <c r="E18" s="10">
        <f t="shared" si="1"/>
        <v>7.353834113694324E-3</v>
      </c>
    </row>
    <row r="19" spans="1:5" x14ac:dyDescent="0.3">
      <c r="A19" s="8">
        <v>46021</v>
      </c>
      <c r="B19" s="9">
        <v>3660.3</v>
      </c>
      <c r="C19" s="10">
        <v>25938.85</v>
      </c>
      <c r="D19" s="10">
        <f t="shared" si="0"/>
        <v>1.8986108404554516E-2</v>
      </c>
      <c r="E19" s="10">
        <f t="shared" si="1"/>
        <v>-1.2527898666646109E-4</v>
      </c>
    </row>
    <row r="20" spans="1:5" x14ac:dyDescent="0.3">
      <c r="A20" s="8">
        <v>46020</v>
      </c>
      <c r="B20" s="9">
        <v>3592.1</v>
      </c>
      <c r="C20" s="10">
        <v>25942.1</v>
      </c>
      <c r="D20" s="10">
        <f t="shared" si="0"/>
        <v>-8.5562087714940241E-3</v>
      </c>
      <c r="E20" s="10">
        <f t="shared" si="1"/>
        <v>-3.8475864266981309E-3</v>
      </c>
    </row>
    <row r="21" spans="1:5" x14ac:dyDescent="0.3">
      <c r="A21" s="8">
        <v>46017</v>
      </c>
      <c r="B21" s="9">
        <v>3623.1</v>
      </c>
      <c r="C21" s="10">
        <v>26042.3</v>
      </c>
      <c r="D21" s="10">
        <f t="shared" si="0"/>
        <v>-3.7396540819973905E-3</v>
      </c>
      <c r="E21" s="10">
        <f t="shared" si="1"/>
        <v>-3.8175969030796791E-3</v>
      </c>
    </row>
    <row r="22" spans="1:5" x14ac:dyDescent="0.3">
      <c r="A22" s="8">
        <v>46015</v>
      </c>
      <c r="B22" s="9">
        <v>3636.7</v>
      </c>
      <c r="C22" s="10">
        <v>26142.1</v>
      </c>
      <c r="D22" s="10">
        <f t="shared" si="0"/>
        <v>3.199911726573035E-3</v>
      </c>
      <c r="E22" s="10">
        <f t="shared" si="1"/>
        <v>-1.3389540114184665E-3</v>
      </c>
    </row>
    <row r="23" spans="1:5" x14ac:dyDescent="0.3">
      <c r="A23" s="8">
        <v>46014</v>
      </c>
      <c r="B23" s="9">
        <v>3625.1</v>
      </c>
      <c r="C23" s="10">
        <v>26177.15</v>
      </c>
      <c r="D23" s="10">
        <f t="shared" si="0"/>
        <v>2.3225592390853792E-3</v>
      </c>
      <c r="E23" s="10">
        <f t="shared" si="1"/>
        <v>1.8148889670034082E-4</v>
      </c>
    </row>
    <row r="24" spans="1:5" x14ac:dyDescent="0.3">
      <c r="A24" s="8">
        <v>46013</v>
      </c>
      <c r="B24" s="9">
        <v>3616.7</v>
      </c>
      <c r="C24" s="10">
        <v>26172.400000000001</v>
      </c>
      <c r="D24" s="10">
        <f t="shared" si="0"/>
        <v>3.6352536352536103E-3</v>
      </c>
      <c r="E24" s="10">
        <f t="shared" si="1"/>
        <v>7.933329225460594E-3</v>
      </c>
    </row>
    <row r="25" spans="1:5" x14ac:dyDescent="0.3">
      <c r="A25" s="8">
        <v>46010</v>
      </c>
      <c r="B25" s="9">
        <v>3603.6</v>
      </c>
      <c r="C25" s="10">
        <v>25966.400000000001</v>
      </c>
      <c r="D25" s="10">
        <f t="shared" si="0"/>
        <v>4.7398650532537783E-3</v>
      </c>
      <c r="E25" s="10">
        <f t="shared" si="1"/>
        <v>5.8433773442751434E-3</v>
      </c>
    </row>
    <row r="26" spans="1:5" x14ac:dyDescent="0.3">
      <c r="A26" s="8">
        <v>46009</v>
      </c>
      <c r="B26" s="9">
        <v>3586.6</v>
      </c>
      <c r="C26" s="10">
        <v>25815.55</v>
      </c>
      <c r="D26" s="10">
        <f t="shared" si="0"/>
        <v>-7.2519929140833347E-3</v>
      </c>
      <c r="E26" s="10">
        <f t="shared" si="1"/>
        <v>-1.1619552608492731E-4</v>
      </c>
    </row>
    <row r="27" spans="1:5" x14ac:dyDescent="0.3">
      <c r="A27" s="8">
        <v>46008</v>
      </c>
      <c r="B27" s="9">
        <v>3612.8</v>
      </c>
      <c r="C27" s="10">
        <v>25818.55</v>
      </c>
      <c r="D27" s="10">
        <f t="shared" si="0"/>
        <v>-2.2645677989505159E-3</v>
      </c>
      <c r="E27" s="10">
        <f t="shared" si="1"/>
        <v>-1.6067223251263248E-3</v>
      </c>
    </row>
    <row r="28" spans="1:5" x14ac:dyDescent="0.3">
      <c r="A28" s="8">
        <v>46007</v>
      </c>
      <c r="B28" s="9">
        <v>3621</v>
      </c>
      <c r="C28" s="10">
        <v>25860.1</v>
      </c>
      <c r="D28" s="10">
        <f t="shared" si="0"/>
        <v>3.6031042128603103E-3</v>
      </c>
      <c r="E28" s="10">
        <f t="shared" si="1"/>
        <v>-6.4240240055634173E-3</v>
      </c>
    </row>
    <row r="29" spans="1:5" x14ac:dyDescent="0.3">
      <c r="A29" s="8">
        <v>46006</v>
      </c>
      <c r="B29" s="9">
        <v>3608</v>
      </c>
      <c r="C29" s="10">
        <v>26027.3</v>
      </c>
      <c r="D29" s="10">
        <f t="shared" si="0"/>
        <v>-1.9458636808348709E-2</v>
      </c>
      <c r="E29" s="10">
        <f t="shared" si="1"/>
        <v>-7.5440694591886787E-4</v>
      </c>
    </row>
    <row r="30" spans="1:5" x14ac:dyDescent="0.3">
      <c r="A30" s="8">
        <v>46003</v>
      </c>
      <c r="B30" s="9">
        <v>3679.6</v>
      </c>
      <c r="C30" s="10">
        <v>26046.95</v>
      </c>
      <c r="D30" s="10">
        <f t="shared" si="0"/>
        <v>3.9288442649787437E-3</v>
      </c>
      <c r="E30" s="10">
        <f t="shared" si="1"/>
        <v>5.7300505240641449E-3</v>
      </c>
    </row>
    <row r="31" spans="1:5" x14ac:dyDescent="0.3">
      <c r="A31" s="8">
        <v>46002</v>
      </c>
      <c r="B31" s="9">
        <v>3665.2</v>
      </c>
      <c r="C31" s="10">
        <v>25898.55</v>
      </c>
      <c r="D31" s="10">
        <f t="shared" si="0"/>
        <v>9.6969696969696467E-3</v>
      </c>
      <c r="E31" s="10">
        <f t="shared" si="1"/>
        <v>5.4565571861169065E-3</v>
      </c>
    </row>
    <row r="32" spans="1:5" x14ac:dyDescent="0.3">
      <c r="A32" s="8">
        <v>46001</v>
      </c>
      <c r="B32" s="9">
        <v>3630</v>
      </c>
      <c r="C32" s="10">
        <v>25758</v>
      </c>
      <c r="D32" s="10">
        <f t="shared" si="0"/>
        <v>-1.622706895129154E-3</v>
      </c>
      <c r="E32" s="10">
        <f t="shared" si="1"/>
        <v>-3.1598725214931878E-3</v>
      </c>
    </row>
    <row r="33" spans="1:5" x14ac:dyDescent="0.3">
      <c r="A33" s="8">
        <v>46000</v>
      </c>
      <c r="B33" s="9">
        <v>3635.9</v>
      </c>
      <c r="C33" s="10">
        <v>25839.65</v>
      </c>
      <c r="D33" s="10">
        <f t="shared" si="0"/>
        <v>-1.2439905478447384E-2</v>
      </c>
      <c r="E33" s="10">
        <f t="shared" si="1"/>
        <v>-4.6570662023723616E-3</v>
      </c>
    </row>
    <row r="34" spans="1:5" x14ac:dyDescent="0.3">
      <c r="A34" s="8">
        <v>45999</v>
      </c>
      <c r="B34" s="9">
        <v>3681.7</v>
      </c>
      <c r="C34" s="10">
        <v>25960.55</v>
      </c>
      <c r="D34" s="10">
        <f t="shared" si="0"/>
        <v>-9.5235533076861237E-3</v>
      </c>
      <c r="E34" s="10">
        <f t="shared" si="1"/>
        <v>-8.6265988707901007E-3</v>
      </c>
    </row>
    <row r="35" spans="1:5" x14ac:dyDescent="0.3">
      <c r="A35" s="8">
        <v>45996</v>
      </c>
      <c r="B35" s="9">
        <v>3717.1</v>
      </c>
      <c r="C35" s="10">
        <v>26186.45</v>
      </c>
      <c r="D35" s="10">
        <f t="shared" si="0"/>
        <v>1.2392417474670443E-2</v>
      </c>
      <c r="E35" s="10">
        <f t="shared" si="1"/>
        <v>5.8654631007826656E-3</v>
      </c>
    </row>
    <row r="36" spans="1:5" x14ac:dyDescent="0.3">
      <c r="A36" s="8">
        <v>45995</v>
      </c>
      <c r="B36" s="9">
        <v>3671.6</v>
      </c>
      <c r="C36" s="10">
        <v>26033.75</v>
      </c>
      <c r="D36" s="10">
        <f t="shared" si="0"/>
        <v>6.0831917575491362E-3</v>
      </c>
      <c r="E36" s="10">
        <f t="shared" si="1"/>
        <v>1.8375278996382667E-3</v>
      </c>
    </row>
    <row r="37" spans="1:5" x14ac:dyDescent="0.3">
      <c r="A37" s="8">
        <v>45994</v>
      </c>
      <c r="B37" s="9">
        <v>3649.4</v>
      </c>
      <c r="C37" s="10">
        <v>25986</v>
      </c>
      <c r="D37" s="10">
        <f t="shared" si="0"/>
        <v>-1.8054621283465602E-2</v>
      </c>
      <c r="E37" s="10">
        <f t="shared" si="1"/>
        <v>-1.77472514808586E-3</v>
      </c>
    </row>
    <row r="38" spans="1:5" x14ac:dyDescent="0.3">
      <c r="A38" s="8">
        <v>45993</v>
      </c>
      <c r="B38" s="9">
        <v>3716.5</v>
      </c>
      <c r="C38" s="10">
        <v>26032.2</v>
      </c>
      <c r="D38" s="10">
        <f t="shared" si="0"/>
        <v>-6.7083600598674123E-3</v>
      </c>
      <c r="E38" s="10">
        <f t="shared" si="1"/>
        <v>-5.4840835506145677E-3</v>
      </c>
    </row>
    <row r="39" spans="1:5" x14ac:dyDescent="0.3">
      <c r="A39" s="8">
        <v>45992</v>
      </c>
      <c r="B39" s="9">
        <v>3741.6</v>
      </c>
      <c r="C39" s="10">
        <v>26175.75</v>
      </c>
      <c r="D39" s="10">
        <f t="shared" si="0"/>
        <v>-4.178532456817468E-3</v>
      </c>
      <c r="E39" s="10">
        <f t="shared" si="1"/>
        <v>-1.038051059136499E-3</v>
      </c>
    </row>
    <row r="40" spans="1:5" x14ac:dyDescent="0.3">
      <c r="A40" s="8">
        <v>45989</v>
      </c>
      <c r="B40" s="9">
        <v>3757.3</v>
      </c>
      <c r="C40" s="10">
        <v>26202.95</v>
      </c>
      <c r="D40" s="10">
        <f t="shared" si="0"/>
        <v>2.0672606758665751E-2</v>
      </c>
      <c r="E40" s="10">
        <f t="shared" si="1"/>
        <v>-4.806307706684981E-4</v>
      </c>
    </row>
    <row r="41" spans="1:5" x14ac:dyDescent="0.3">
      <c r="A41" s="8">
        <v>45988</v>
      </c>
      <c r="B41" s="9">
        <v>3681.2</v>
      </c>
      <c r="C41" s="10">
        <v>26215.55</v>
      </c>
      <c r="D41" s="10">
        <f t="shared" si="0"/>
        <v>-1.4105902777778517E-3</v>
      </c>
      <c r="E41" s="10">
        <f t="shared" si="1"/>
        <v>3.9114224985022116E-4</v>
      </c>
    </row>
    <row r="42" spans="1:5" x14ac:dyDescent="0.3">
      <c r="A42" s="8">
        <v>45987</v>
      </c>
      <c r="B42" s="9">
        <v>3686.4</v>
      </c>
      <c r="C42" s="10">
        <v>26205.3</v>
      </c>
      <c r="D42" s="10">
        <f t="shared" si="0"/>
        <v>4.6602894285013236E-3</v>
      </c>
      <c r="E42" s="10">
        <f t="shared" si="1"/>
        <v>1.2381783904067252E-2</v>
      </c>
    </row>
    <row r="43" spans="1:5" x14ac:dyDescent="0.3">
      <c r="A43" s="8">
        <v>45986</v>
      </c>
      <c r="B43" s="9">
        <v>3669.3</v>
      </c>
      <c r="C43" s="10">
        <v>25884.799999999999</v>
      </c>
      <c r="D43" s="10">
        <f t="shared" si="0"/>
        <v>-5.8252953289259779E-3</v>
      </c>
      <c r="E43" s="10">
        <f t="shared" si="1"/>
        <v>-2.8775592750245856E-3</v>
      </c>
    </row>
    <row r="44" spans="1:5" x14ac:dyDescent="0.3">
      <c r="A44" s="8">
        <v>45985</v>
      </c>
      <c r="B44" s="9">
        <v>3690.8</v>
      </c>
      <c r="C44" s="10">
        <v>25959.5</v>
      </c>
      <c r="D44" s="10">
        <f t="shared" si="0"/>
        <v>-1.5681672711755849E-2</v>
      </c>
      <c r="E44" s="10">
        <f t="shared" si="1"/>
        <v>-4.1679213906626071E-3</v>
      </c>
    </row>
    <row r="45" spans="1:5" x14ac:dyDescent="0.3">
      <c r="A45" s="8">
        <v>45982</v>
      </c>
      <c r="B45" s="9">
        <v>3749.6</v>
      </c>
      <c r="C45" s="10">
        <v>26068.15</v>
      </c>
      <c r="D45" s="10">
        <f t="shared" si="0"/>
        <v>8.8519385476363687E-3</v>
      </c>
      <c r="E45" s="10">
        <f t="shared" si="1"/>
        <v>-4.734242893385995E-3</v>
      </c>
    </row>
    <row r="46" spans="1:5" x14ac:dyDescent="0.3">
      <c r="A46" s="8">
        <v>45981</v>
      </c>
      <c r="B46" s="9">
        <v>3716.7</v>
      </c>
      <c r="C46" s="10">
        <v>26192.15</v>
      </c>
      <c r="D46" s="10">
        <f t="shared" si="0"/>
        <v>-1.5580926796508212E-3</v>
      </c>
      <c r="E46" s="10">
        <f t="shared" si="1"/>
        <v>5.3545416685058904E-3</v>
      </c>
    </row>
    <row r="47" spans="1:5" x14ac:dyDescent="0.3">
      <c r="A47" s="8">
        <v>45980</v>
      </c>
      <c r="B47" s="9">
        <v>3722.5</v>
      </c>
      <c r="C47" s="10">
        <v>26052.65</v>
      </c>
      <c r="D47" s="10">
        <f t="shared" si="0"/>
        <v>7.4970228429143164E-3</v>
      </c>
      <c r="E47" s="10">
        <f t="shared" si="1"/>
        <v>5.503655917298584E-3</v>
      </c>
    </row>
    <row r="48" spans="1:5" x14ac:dyDescent="0.3">
      <c r="A48" s="8">
        <v>45979</v>
      </c>
      <c r="B48" s="9">
        <v>3694.8</v>
      </c>
      <c r="C48" s="10">
        <v>25910.05</v>
      </c>
      <c r="D48" s="10">
        <f t="shared" si="0"/>
        <v>-1.0736565905378968E-2</v>
      </c>
      <c r="E48" s="10">
        <f t="shared" si="1"/>
        <v>-3.9748668477269048E-3</v>
      </c>
    </row>
    <row r="49" spans="1:5" x14ac:dyDescent="0.3">
      <c r="A49" s="8">
        <v>45978</v>
      </c>
      <c r="B49" s="9">
        <v>3734.9</v>
      </c>
      <c r="C49" s="10">
        <v>26013.45</v>
      </c>
      <c r="D49" s="10">
        <f t="shared" si="0"/>
        <v>9.8145244146434288E-3</v>
      </c>
      <c r="E49" s="10">
        <f t="shared" si="1"/>
        <v>3.9907294659794739E-3</v>
      </c>
    </row>
    <row r="50" spans="1:5" x14ac:dyDescent="0.3">
      <c r="A50" s="8">
        <v>45975</v>
      </c>
      <c r="B50" s="9">
        <v>3698.6</v>
      </c>
      <c r="C50" s="10">
        <v>25910.05</v>
      </c>
      <c r="D50" s="10">
        <f t="shared" si="0"/>
        <v>-2.432761183944022E-4</v>
      </c>
      <c r="E50" s="10">
        <f t="shared" si="1"/>
        <v>1.194011395273717E-3</v>
      </c>
    </row>
    <row r="51" spans="1:5" x14ac:dyDescent="0.3">
      <c r="A51" s="8">
        <v>45974</v>
      </c>
      <c r="B51" s="9">
        <v>3699.5</v>
      </c>
      <c r="C51" s="10">
        <v>25879.15</v>
      </c>
      <c r="D51" s="10">
        <f t="shared" si="0"/>
        <v>-1.4596595903364189E-2</v>
      </c>
      <c r="E51" s="10">
        <f t="shared" si="1"/>
        <v>1.2946459626377477E-4</v>
      </c>
    </row>
    <row r="52" spans="1:5" x14ac:dyDescent="0.3">
      <c r="A52" s="8">
        <v>45973</v>
      </c>
      <c r="B52" s="9">
        <v>3754.3</v>
      </c>
      <c r="C52" s="10">
        <v>25875.8</v>
      </c>
      <c r="D52" s="10">
        <f t="shared" si="0"/>
        <v>1.3869995465579134E-3</v>
      </c>
      <c r="E52" s="10">
        <f t="shared" si="1"/>
        <v>7.0383480022338449E-3</v>
      </c>
    </row>
    <row r="53" spans="1:5" x14ac:dyDescent="0.3">
      <c r="A53" s="8">
        <v>45972</v>
      </c>
      <c r="B53" s="9">
        <v>3749.1</v>
      </c>
      <c r="C53" s="10">
        <v>25694.95</v>
      </c>
      <c r="D53" s="10">
        <f t="shared" si="0"/>
        <v>2.3253909768279651E-2</v>
      </c>
      <c r="E53" s="10">
        <f t="shared" si="1"/>
        <v>4.7156623726508076E-3</v>
      </c>
    </row>
    <row r="54" spans="1:5" x14ac:dyDescent="0.3">
      <c r="A54" s="8">
        <v>45971</v>
      </c>
      <c r="B54" s="9">
        <v>3663.9</v>
      </c>
      <c r="C54" s="10">
        <v>25574.35</v>
      </c>
      <c r="D54" s="10">
        <f t="shared" si="0"/>
        <v>-7.1269849872634891E-3</v>
      </c>
      <c r="E54" s="10">
        <f t="shared" si="1"/>
        <v>3.2186189555277189E-3</v>
      </c>
    </row>
    <row r="55" spans="1:5" x14ac:dyDescent="0.3">
      <c r="A55" s="8">
        <v>45968</v>
      </c>
      <c r="B55" s="9">
        <v>3690.2</v>
      </c>
      <c r="C55" s="10">
        <v>25492.3</v>
      </c>
      <c r="D55" s="10">
        <f t="shared" si="0"/>
        <v>1.9814840403482057E-2</v>
      </c>
      <c r="E55" s="10">
        <f t="shared" si="1"/>
        <v>-6.8209347816718558E-4</v>
      </c>
    </row>
    <row r="56" spans="1:5" x14ac:dyDescent="0.3">
      <c r="A56" s="8">
        <v>45967</v>
      </c>
      <c r="B56" s="9">
        <v>3618.5</v>
      </c>
      <c r="C56" s="10">
        <v>25509.7</v>
      </c>
      <c r="D56" s="10">
        <f t="shared" si="0"/>
        <v>1.0415503183290568E-2</v>
      </c>
      <c r="E56" s="10">
        <f t="shared" si="1"/>
        <v>-3.4358622764199338E-3</v>
      </c>
    </row>
    <row r="57" spans="1:5" x14ac:dyDescent="0.3">
      <c r="A57" s="8">
        <v>45965</v>
      </c>
      <c r="B57" s="9">
        <v>3581.2</v>
      </c>
      <c r="C57" s="10">
        <v>25597.65</v>
      </c>
      <c r="D57" s="10">
        <f t="shared" si="0"/>
        <v>9.1014117050352856E-3</v>
      </c>
      <c r="E57" s="10">
        <f t="shared" si="1"/>
        <v>-6.4316170063286448E-3</v>
      </c>
    </row>
    <row r="58" spans="1:5" x14ac:dyDescent="0.3">
      <c r="A58" s="8">
        <v>45964</v>
      </c>
      <c r="B58" s="9">
        <v>3548.9</v>
      </c>
      <c r="C58" s="10">
        <v>25763.35</v>
      </c>
      <c r="D58" s="10">
        <f t="shared" si="0"/>
        <v>1.7693278274833756E-2</v>
      </c>
      <c r="E58" s="10">
        <f t="shared" si="1"/>
        <v>1.6036793263380518E-3</v>
      </c>
    </row>
    <row r="59" spans="1:5" x14ac:dyDescent="0.3">
      <c r="A59" s="8">
        <v>45961</v>
      </c>
      <c r="B59" s="9">
        <v>3487.2</v>
      </c>
      <c r="C59" s="10">
        <v>25722.1</v>
      </c>
      <c r="D59" s="10">
        <f t="shared" si="0"/>
        <v>-4.254590103081035E-3</v>
      </c>
      <c r="E59" s="10">
        <f t="shared" si="1"/>
        <v>-6.0186607465457917E-3</v>
      </c>
    </row>
    <row r="60" spans="1:5" x14ac:dyDescent="0.3">
      <c r="A60" s="8">
        <v>45960</v>
      </c>
      <c r="B60" s="9">
        <v>3502.1</v>
      </c>
      <c r="C60" s="10">
        <v>25877.85</v>
      </c>
      <c r="D60" s="10">
        <f t="shared" si="0"/>
        <v>-9.2228477664299414E-3</v>
      </c>
      <c r="E60" s="10">
        <f t="shared" si="1"/>
        <v>-6.7571457632063878E-3</v>
      </c>
    </row>
    <row r="61" spans="1:5" x14ac:dyDescent="0.3">
      <c r="A61" s="8">
        <v>45959</v>
      </c>
      <c r="B61" s="9">
        <v>3534.7</v>
      </c>
      <c r="C61" s="10">
        <v>26053.9</v>
      </c>
      <c r="D61" s="10">
        <f t="shared" si="0"/>
        <v>-1.2405353301109243E-2</v>
      </c>
      <c r="E61" s="10">
        <f t="shared" si="1"/>
        <v>4.5380587749940518E-3</v>
      </c>
    </row>
    <row r="62" spans="1:5" x14ac:dyDescent="0.3">
      <c r="A62" s="8">
        <v>45958</v>
      </c>
      <c r="B62" s="9">
        <v>3579.1</v>
      </c>
      <c r="C62" s="10">
        <v>25936.2</v>
      </c>
      <c r="D62" s="10">
        <f t="shared" si="0"/>
        <v>-8.9987817034001549E-3</v>
      </c>
      <c r="E62" s="10">
        <f t="shared" si="1"/>
        <v>-1.1495780066663411E-3</v>
      </c>
    </row>
    <row r="63" spans="1:5" x14ac:dyDescent="0.3">
      <c r="A63" s="8">
        <v>45957</v>
      </c>
      <c r="B63" s="9">
        <v>3611.6</v>
      </c>
      <c r="C63" s="10">
        <v>25966.05</v>
      </c>
      <c r="D63" s="10">
        <f t="shared" si="0"/>
        <v>-3.6965517241379559E-3</v>
      </c>
      <c r="E63" s="10">
        <f t="shared" si="1"/>
        <v>6.6252764570083065E-3</v>
      </c>
    </row>
    <row r="64" spans="1:5" x14ac:dyDescent="0.3">
      <c r="A64" s="8">
        <v>45954</v>
      </c>
      <c r="B64" s="9">
        <v>3625</v>
      </c>
      <c r="C64" s="10">
        <v>25795.15</v>
      </c>
      <c r="D64" s="10">
        <f t="shared" si="0"/>
        <v>3.8635610994593525E-4</v>
      </c>
      <c r="E64" s="10">
        <f t="shared" si="1"/>
        <v>-3.7174505820465479E-3</v>
      </c>
    </row>
    <row r="65" spans="1:5" x14ac:dyDescent="0.3">
      <c r="A65" s="8">
        <v>45953</v>
      </c>
      <c r="B65" s="9">
        <v>3623.6</v>
      </c>
      <c r="C65" s="10">
        <v>25891.4</v>
      </c>
      <c r="D65" s="10">
        <f t="shared" si="0"/>
        <v>6.627637247321581E-4</v>
      </c>
      <c r="E65" s="10">
        <f t="shared" si="1"/>
        <v>8.8137742282160274E-4</v>
      </c>
    </row>
    <row r="66" spans="1:5" x14ac:dyDescent="0.3">
      <c r="A66" s="8">
        <v>45951</v>
      </c>
      <c r="B66" s="9">
        <v>3621.2</v>
      </c>
      <c r="C66" s="10">
        <v>25868.6</v>
      </c>
      <c r="D66" s="10">
        <f t="shared" si="0"/>
        <v>6.1404239948875854E-3</v>
      </c>
      <c r="E66" s="10">
        <f t="shared" si="1"/>
        <v>9.8478707123539843E-4</v>
      </c>
    </row>
    <row r="67" spans="1:5" x14ac:dyDescent="0.3">
      <c r="A67" s="8">
        <v>45950</v>
      </c>
      <c r="B67" s="9">
        <v>3599.1</v>
      </c>
      <c r="C67" s="10">
        <v>25843.15</v>
      </c>
      <c r="D67" s="10">
        <f t="shared" ref="D67:D130" si="2">(B67-B68)/B68</f>
        <v>-1.3188199166483854E-2</v>
      </c>
      <c r="E67" s="10">
        <f t="shared" ref="E67:E130" si="3">(C67-C68)/C68</f>
        <v>5.1847832640020425E-3</v>
      </c>
    </row>
    <row r="68" spans="1:5" x14ac:dyDescent="0.3">
      <c r="A68" s="8">
        <v>45947</v>
      </c>
      <c r="B68" s="9">
        <v>3647.2</v>
      </c>
      <c r="C68" s="10">
        <v>25709.85</v>
      </c>
      <c r="D68" s="10">
        <f t="shared" si="2"/>
        <v>2.4264210289822407E-2</v>
      </c>
      <c r="E68" s="10">
        <f t="shared" si="3"/>
        <v>4.8680296889229077E-3</v>
      </c>
    </row>
    <row r="69" spans="1:5" x14ac:dyDescent="0.3">
      <c r="A69" s="8">
        <v>45946</v>
      </c>
      <c r="B69" s="9">
        <v>3560.8</v>
      </c>
      <c r="C69" s="10">
        <v>25585.3</v>
      </c>
      <c r="D69" s="10">
        <f t="shared" si="2"/>
        <v>1.8185977353311324E-2</v>
      </c>
      <c r="E69" s="10">
        <f t="shared" si="3"/>
        <v>1.033622853036008E-2</v>
      </c>
    </row>
    <row r="70" spans="1:5" x14ac:dyDescent="0.3">
      <c r="A70" s="8">
        <v>45945</v>
      </c>
      <c r="B70" s="9">
        <v>3497.2</v>
      </c>
      <c r="C70" s="10">
        <v>25323.55</v>
      </c>
      <c r="D70" s="10">
        <f t="shared" si="2"/>
        <v>1.0809873403086779E-2</v>
      </c>
      <c r="E70" s="10">
        <f t="shared" si="3"/>
        <v>7.080789803344506E-3</v>
      </c>
    </row>
    <row r="71" spans="1:5" x14ac:dyDescent="0.3">
      <c r="A71" s="8">
        <v>45944</v>
      </c>
      <c r="B71" s="9">
        <v>3459.8</v>
      </c>
      <c r="C71" s="10">
        <v>25145.5</v>
      </c>
      <c r="D71" s="10">
        <f t="shared" si="2"/>
        <v>2.8904240252150131E-5</v>
      </c>
      <c r="E71" s="10">
        <f t="shared" si="3"/>
        <v>-3.2444945664129822E-3</v>
      </c>
    </row>
    <row r="72" spans="1:5" x14ac:dyDescent="0.3">
      <c r="A72" s="8">
        <v>45943</v>
      </c>
      <c r="B72" s="9">
        <v>3459.7</v>
      </c>
      <c r="C72" s="10">
        <v>25227.35</v>
      </c>
      <c r="D72" s="10">
        <f t="shared" si="2"/>
        <v>1.3893310949664901E-3</v>
      </c>
      <c r="E72" s="10">
        <f t="shared" si="3"/>
        <v>-2.2938183572701189E-3</v>
      </c>
    </row>
    <row r="73" spans="1:5" x14ac:dyDescent="0.3">
      <c r="A73" s="8">
        <v>45940</v>
      </c>
      <c r="B73" s="9">
        <v>3454.9</v>
      </c>
      <c r="C73" s="10">
        <v>25285.35</v>
      </c>
      <c r="D73" s="10">
        <f t="shared" si="2"/>
        <v>3.4854337912806062E-3</v>
      </c>
      <c r="E73" s="10">
        <f t="shared" si="3"/>
        <v>4.1120968318388391E-3</v>
      </c>
    </row>
    <row r="74" spans="1:5" x14ac:dyDescent="0.3">
      <c r="A74" s="8">
        <v>45939</v>
      </c>
      <c r="B74" s="9">
        <v>3442.9</v>
      </c>
      <c r="C74" s="10">
        <v>25181.8</v>
      </c>
      <c r="D74" s="10">
        <f t="shared" si="2"/>
        <v>4.7862250109441387E-3</v>
      </c>
      <c r="E74" s="10">
        <f t="shared" si="3"/>
        <v>5.416002060196789E-3</v>
      </c>
    </row>
    <row r="75" spans="1:5" x14ac:dyDescent="0.3">
      <c r="A75" s="8">
        <v>45938</v>
      </c>
      <c r="B75" s="9">
        <v>3426.5</v>
      </c>
      <c r="C75" s="10">
        <v>25046.15</v>
      </c>
      <c r="D75" s="10">
        <f t="shared" si="2"/>
        <v>-1.8981905634448057E-2</v>
      </c>
      <c r="E75" s="10">
        <f t="shared" si="3"/>
        <v>-2.4752770996044264E-3</v>
      </c>
    </row>
    <row r="76" spans="1:5" x14ac:dyDescent="0.3">
      <c r="A76" s="8">
        <v>45937</v>
      </c>
      <c r="B76" s="9">
        <v>3492.8</v>
      </c>
      <c r="C76" s="10">
        <v>25108.3</v>
      </c>
      <c r="D76" s="10">
        <f t="shared" si="2"/>
        <v>5.9907834101383013E-3</v>
      </c>
      <c r="E76" s="10">
        <f t="shared" si="3"/>
        <v>1.2222038348887482E-3</v>
      </c>
    </row>
    <row r="77" spans="1:5" x14ac:dyDescent="0.3">
      <c r="A77" s="8">
        <v>45936</v>
      </c>
      <c r="B77" s="9">
        <v>3472</v>
      </c>
      <c r="C77" s="10">
        <v>25077.65</v>
      </c>
      <c r="D77" s="10">
        <f t="shared" si="2"/>
        <v>2.8885037550548816E-3</v>
      </c>
      <c r="E77" s="10">
        <f t="shared" si="3"/>
        <v>7.3671630999126887E-3</v>
      </c>
    </row>
    <row r="78" spans="1:5" x14ac:dyDescent="0.3">
      <c r="A78" s="8">
        <v>45933</v>
      </c>
      <c r="B78" s="9">
        <v>3462</v>
      </c>
      <c r="C78" s="10">
        <v>24894.25</v>
      </c>
      <c r="D78" s="10">
        <f t="shared" si="2"/>
        <v>-4.0422706011436477E-4</v>
      </c>
      <c r="E78" s="10">
        <f t="shared" si="3"/>
        <v>2.333278306350009E-3</v>
      </c>
    </row>
    <row r="79" spans="1:5" x14ac:dyDescent="0.3">
      <c r="A79" s="8">
        <v>45931</v>
      </c>
      <c r="B79" s="9">
        <v>3463.4</v>
      </c>
      <c r="C79" s="10">
        <v>24836.3</v>
      </c>
      <c r="D79" s="10">
        <f t="shared" si="2"/>
        <v>1.0621534870148846E-2</v>
      </c>
      <c r="E79" s="10">
        <f t="shared" si="3"/>
        <v>9.1503427315317368E-3</v>
      </c>
    </row>
    <row r="80" spans="1:5" x14ac:dyDescent="0.3">
      <c r="A80" s="8">
        <v>45930</v>
      </c>
      <c r="B80" s="9">
        <v>3427</v>
      </c>
      <c r="C80" s="10">
        <v>24611.1</v>
      </c>
      <c r="D80" s="10">
        <f t="shared" si="2"/>
        <v>2.6037857289137505E-3</v>
      </c>
      <c r="E80" s="10">
        <f t="shared" si="3"/>
        <v>-9.6610905666363205E-4</v>
      </c>
    </row>
    <row r="81" spans="1:5" x14ac:dyDescent="0.3">
      <c r="A81" s="8">
        <v>45929</v>
      </c>
      <c r="B81" s="9">
        <v>3418.1</v>
      </c>
      <c r="C81" s="10">
        <v>24634.9</v>
      </c>
      <c r="D81" s="10">
        <f t="shared" si="2"/>
        <v>6.3594877079346116E-3</v>
      </c>
      <c r="E81" s="10">
        <f t="shared" si="3"/>
        <v>-8.0309231099949595E-4</v>
      </c>
    </row>
    <row r="82" spans="1:5" x14ac:dyDescent="0.3">
      <c r="A82" s="8">
        <v>45926</v>
      </c>
      <c r="B82" s="9">
        <v>3396.5</v>
      </c>
      <c r="C82" s="10">
        <v>24654.7</v>
      </c>
      <c r="D82" s="10">
        <f t="shared" si="2"/>
        <v>-3.7818696883852691E-2</v>
      </c>
      <c r="E82" s="10">
        <f t="shared" si="3"/>
        <v>-9.487422084822247E-3</v>
      </c>
    </row>
    <row r="83" spans="1:5" x14ac:dyDescent="0.3">
      <c r="A83" s="8">
        <v>45925</v>
      </c>
      <c r="B83" s="9">
        <v>3530</v>
      </c>
      <c r="C83" s="10">
        <v>24890.85</v>
      </c>
      <c r="D83" s="10">
        <f t="shared" si="2"/>
        <v>-1.2559791882290439E-2</v>
      </c>
      <c r="E83" s="10">
        <f t="shared" si="3"/>
        <v>-6.6269171365972209E-3</v>
      </c>
    </row>
    <row r="84" spans="1:5" x14ac:dyDescent="0.3">
      <c r="A84" s="8">
        <v>45924</v>
      </c>
      <c r="B84" s="9">
        <v>3574.9</v>
      </c>
      <c r="C84" s="10">
        <v>25056.9</v>
      </c>
      <c r="D84" s="10">
        <f t="shared" si="2"/>
        <v>-1.0983234659436679E-2</v>
      </c>
      <c r="E84" s="10">
        <f t="shared" si="3"/>
        <v>-4.4736685273842761E-3</v>
      </c>
    </row>
    <row r="85" spans="1:5" x14ac:dyDescent="0.3">
      <c r="A85" s="8">
        <v>45923</v>
      </c>
      <c r="B85" s="9">
        <v>3614.6</v>
      </c>
      <c r="C85" s="10">
        <v>25169.5</v>
      </c>
      <c r="D85" s="10">
        <f t="shared" si="2"/>
        <v>8.3128765900467878E-3</v>
      </c>
      <c r="E85" s="10">
        <f t="shared" si="3"/>
        <v>-1.3034498766979488E-3</v>
      </c>
    </row>
    <row r="86" spans="1:5" x14ac:dyDescent="0.3">
      <c r="A86" s="8">
        <v>45922</v>
      </c>
      <c r="B86" s="9">
        <v>3584.8</v>
      </c>
      <c r="C86" s="10">
        <v>25202.35</v>
      </c>
      <c r="D86" s="10">
        <f t="shared" si="2"/>
        <v>-2.0322374098715869E-3</v>
      </c>
      <c r="E86" s="10">
        <f t="shared" si="3"/>
        <v>-4.9235896008418163E-3</v>
      </c>
    </row>
    <row r="87" spans="1:5" x14ac:dyDescent="0.3">
      <c r="A87" s="8">
        <v>45919</v>
      </c>
      <c r="B87" s="9">
        <v>3592.1</v>
      </c>
      <c r="C87" s="10">
        <v>25327.05</v>
      </c>
      <c r="D87" s="10">
        <f t="shared" si="2"/>
        <v>-1.3755422546812342E-2</v>
      </c>
      <c r="E87" s="10">
        <f t="shared" si="3"/>
        <v>-3.7976525747730173E-3</v>
      </c>
    </row>
    <row r="88" spans="1:5" x14ac:dyDescent="0.3">
      <c r="A88" s="8">
        <v>45918</v>
      </c>
      <c r="B88" s="9">
        <v>3642.2</v>
      </c>
      <c r="C88" s="10">
        <v>25423.599999999999</v>
      </c>
      <c r="D88" s="10">
        <f t="shared" si="2"/>
        <v>2.4771551249587144E-3</v>
      </c>
      <c r="E88" s="10">
        <f t="shared" si="3"/>
        <v>3.6853169629197718E-3</v>
      </c>
    </row>
    <row r="89" spans="1:5" x14ac:dyDescent="0.3">
      <c r="A89" s="8">
        <v>45917</v>
      </c>
      <c r="B89" s="9">
        <v>3633.2</v>
      </c>
      <c r="C89" s="10">
        <v>25330.25</v>
      </c>
      <c r="D89" s="10">
        <f t="shared" si="2"/>
        <v>6.9844789356983978E-3</v>
      </c>
      <c r="E89" s="10">
        <f t="shared" si="3"/>
        <v>3.6114599965926465E-3</v>
      </c>
    </row>
    <row r="90" spans="1:5" x14ac:dyDescent="0.3">
      <c r="A90" s="8">
        <v>45916</v>
      </c>
      <c r="B90" s="9">
        <v>3608</v>
      </c>
      <c r="C90" s="10">
        <v>25239.1</v>
      </c>
      <c r="D90" s="10">
        <f t="shared" si="2"/>
        <v>2.2009460952326945E-2</v>
      </c>
      <c r="E90" s="10">
        <f t="shared" si="3"/>
        <v>6.7772405980245807E-3</v>
      </c>
    </row>
    <row r="91" spans="1:5" x14ac:dyDescent="0.3">
      <c r="A91" s="8">
        <v>45915</v>
      </c>
      <c r="B91" s="9">
        <v>3530.3</v>
      </c>
      <c r="C91" s="10">
        <v>25069.200000000001</v>
      </c>
      <c r="D91" s="10">
        <f t="shared" si="2"/>
        <v>-1.6602133764171679E-2</v>
      </c>
      <c r="E91" s="10">
        <f t="shared" si="3"/>
        <v>-1.7838655729871494E-3</v>
      </c>
    </row>
    <row r="92" spans="1:5" x14ac:dyDescent="0.3">
      <c r="A92" s="8">
        <v>45912</v>
      </c>
      <c r="B92" s="9">
        <v>3589.9</v>
      </c>
      <c r="C92" s="10">
        <v>25114</v>
      </c>
      <c r="D92" s="10">
        <f t="shared" si="2"/>
        <v>-1.6130377951441243E-3</v>
      </c>
      <c r="E92" s="10">
        <f t="shared" si="3"/>
        <v>4.3390454100097975E-3</v>
      </c>
    </row>
    <row r="93" spans="1:5" x14ac:dyDescent="0.3">
      <c r="A93" s="8">
        <v>45911</v>
      </c>
      <c r="B93" s="9">
        <v>3595.7</v>
      </c>
      <c r="C93" s="10">
        <v>25005.5</v>
      </c>
      <c r="D93" s="10">
        <f t="shared" si="2"/>
        <v>-2.4137165686384065E-3</v>
      </c>
      <c r="E93" s="10">
        <f t="shared" si="3"/>
        <v>1.2973959980940074E-3</v>
      </c>
    </row>
    <row r="94" spans="1:5" x14ac:dyDescent="0.3">
      <c r="A94" s="8">
        <v>45910</v>
      </c>
      <c r="B94" s="9">
        <v>3604.4</v>
      </c>
      <c r="C94" s="10">
        <v>24973.1</v>
      </c>
      <c r="D94" s="10">
        <f t="shared" si="2"/>
        <v>-2.4862700538376237E-2</v>
      </c>
      <c r="E94" s="10">
        <f t="shared" si="3"/>
        <v>4.202086164882623E-3</v>
      </c>
    </row>
    <row r="95" spans="1:5" x14ac:dyDescent="0.3">
      <c r="A95" s="8">
        <v>45909</v>
      </c>
      <c r="B95" s="9">
        <v>3696.3</v>
      </c>
      <c r="C95" s="10">
        <v>24868.6</v>
      </c>
      <c r="D95" s="10">
        <f t="shared" si="2"/>
        <v>-1.3778570270708134E-3</v>
      </c>
      <c r="E95" s="10">
        <f t="shared" si="3"/>
        <v>3.8529617751475722E-3</v>
      </c>
    </row>
    <row r="96" spans="1:5" x14ac:dyDescent="0.3">
      <c r="A96" s="8">
        <v>45908</v>
      </c>
      <c r="B96" s="9">
        <v>3701.4</v>
      </c>
      <c r="C96" s="10">
        <v>24773.15</v>
      </c>
      <c r="D96" s="10">
        <f t="shared" si="2"/>
        <v>3.9339567012046134E-2</v>
      </c>
      <c r="E96" s="10">
        <f t="shared" si="3"/>
        <v>1.2994624307829698E-3</v>
      </c>
    </row>
    <row r="97" spans="1:5" x14ac:dyDescent="0.3">
      <c r="A97" s="8">
        <v>45905</v>
      </c>
      <c r="B97" s="9">
        <v>3561.3</v>
      </c>
      <c r="C97" s="10">
        <v>24741</v>
      </c>
      <c r="D97" s="10">
        <f t="shared" si="2"/>
        <v>2.2921154674709229E-2</v>
      </c>
      <c r="E97" s="10">
        <f t="shared" si="3"/>
        <v>2.7087890095942588E-4</v>
      </c>
    </row>
    <row r="98" spans="1:5" x14ac:dyDescent="0.3">
      <c r="A98" s="8">
        <v>45904</v>
      </c>
      <c r="B98" s="9">
        <v>3481.5</v>
      </c>
      <c r="C98" s="10">
        <v>24734.3</v>
      </c>
      <c r="D98" s="10">
        <f t="shared" si="2"/>
        <v>5.9494826536822885E-2</v>
      </c>
      <c r="E98" s="10">
        <f t="shared" si="3"/>
        <v>7.7887764742535419E-4</v>
      </c>
    </row>
    <row r="99" spans="1:5" x14ac:dyDescent="0.3">
      <c r="A99" s="8">
        <v>45903</v>
      </c>
      <c r="B99" s="9">
        <v>3286</v>
      </c>
      <c r="C99" s="10">
        <v>24715.05</v>
      </c>
      <c r="D99" s="10">
        <f t="shared" si="2"/>
        <v>1.5922089967537488E-2</v>
      </c>
      <c r="E99" s="10">
        <f t="shared" si="3"/>
        <v>5.5106673827076411E-3</v>
      </c>
    </row>
    <row r="100" spans="1:5" x14ac:dyDescent="0.3">
      <c r="A100" s="8">
        <v>45902</v>
      </c>
      <c r="B100" s="9">
        <v>3234.5</v>
      </c>
      <c r="C100" s="10">
        <v>24579.599999999999</v>
      </c>
      <c r="D100" s="10">
        <f t="shared" si="2"/>
        <v>-2.4401278880376451E-2</v>
      </c>
      <c r="E100" s="10">
        <f t="shared" si="3"/>
        <v>-1.845681531611133E-3</v>
      </c>
    </row>
    <row r="101" spans="1:5" x14ac:dyDescent="0.3">
      <c r="A101" s="8">
        <v>45901</v>
      </c>
      <c r="B101" s="9">
        <v>3315.4</v>
      </c>
      <c r="C101" s="10">
        <v>24625.05</v>
      </c>
      <c r="D101" s="10">
        <f t="shared" si="2"/>
        <v>3.6224410064072537E-2</v>
      </c>
      <c r="E101" s="10">
        <f t="shared" si="3"/>
        <v>8.1140220699763062E-3</v>
      </c>
    </row>
    <row r="102" spans="1:5" x14ac:dyDescent="0.3">
      <c r="A102" s="8">
        <v>45898</v>
      </c>
      <c r="B102" s="9">
        <v>3199.5</v>
      </c>
      <c r="C102" s="10">
        <v>24426.85</v>
      </c>
      <c r="D102" s="10">
        <f t="shared" si="2"/>
        <v>-2.9071708190453124E-2</v>
      </c>
      <c r="E102" s="10">
        <f t="shared" si="3"/>
        <v>-3.0223379549323866E-3</v>
      </c>
    </row>
    <row r="103" spans="1:5" x14ac:dyDescent="0.3">
      <c r="A103" s="8">
        <v>45897</v>
      </c>
      <c r="B103" s="9">
        <v>3295.3</v>
      </c>
      <c r="C103" s="10">
        <v>24500.9</v>
      </c>
      <c r="D103" s="10">
        <f t="shared" si="2"/>
        <v>-1.0658100156118649E-2</v>
      </c>
      <c r="E103" s="10">
        <f t="shared" si="3"/>
        <v>-8.5444145669824161E-3</v>
      </c>
    </row>
    <row r="104" spans="1:5" x14ac:dyDescent="0.3">
      <c r="A104" s="8">
        <v>45895</v>
      </c>
      <c r="B104" s="9">
        <v>3330.8</v>
      </c>
      <c r="C104" s="10">
        <v>24712.05</v>
      </c>
      <c r="D104" s="10">
        <f t="shared" si="2"/>
        <v>-2.0035893965694756E-2</v>
      </c>
      <c r="E104" s="10">
        <f t="shared" si="3"/>
        <v>-1.0241211162399524E-2</v>
      </c>
    </row>
    <row r="105" spans="1:5" x14ac:dyDescent="0.3">
      <c r="A105" s="8">
        <v>45894</v>
      </c>
      <c r="B105" s="9">
        <v>3398.9</v>
      </c>
      <c r="C105" s="10">
        <v>24967.75</v>
      </c>
      <c r="D105" s="10">
        <f t="shared" si="2"/>
        <v>-1.204819277108407E-3</v>
      </c>
      <c r="E105" s="10">
        <f t="shared" si="3"/>
        <v>3.9264015826233692E-3</v>
      </c>
    </row>
    <row r="106" spans="1:5" x14ac:dyDescent="0.3">
      <c r="A106" s="8">
        <v>45891</v>
      </c>
      <c r="B106" s="9">
        <v>3403</v>
      </c>
      <c r="C106" s="10">
        <v>24870.1</v>
      </c>
      <c r="D106" s="10">
        <f t="shared" si="2"/>
        <v>8.2664217356523042E-3</v>
      </c>
      <c r="E106" s="10">
        <f t="shared" si="3"/>
        <v>-8.5174664872677119E-3</v>
      </c>
    </row>
    <row r="107" spans="1:5" x14ac:dyDescent="0.3">
      <c r="A107" s="8">
        <v>45890</v>
      </c>
      <c r="B107" s="9">
        <v>3375.1</v>
      </c>
      <c r="C107" s="10">
        <v>25083.75</v>
      </c>
      <c r="D107" s="10">
        <f t="shared" si="2"/>
        <v>-6.0372246436564969E-3</v>
      </c>
      <c r="E107" s="10">
        <f t="shared" si="3"/>
        <v>1.3253202025504721E-3</v>
      </c>
    </row>
    <row r="108" spans="1:5" x14ac:dyDescent="0.3">
      <c r="A108" s="8">
        <v>45889</v>
      </c>
      <c r="B108" s="9">
        <v>3395.6</v>
      </c>
      <c r="C108" s="10">
        <v>25050.55</v>
      </c>
      <c r="D108" s="10">
        <f t="shared" si="2"/>
        <v>1.2403100775193771E-2</v>
      </c>
      <c r="E108" s="10">
        <f t="shared" si="3"/>
        <v>2.7981657803138756E-3</v>
      </c>
    </row>
    <row r="109" spans="1:5" x14ac:dyDescent="0.3">
      <c r="A109" s="8">
        <v>45888</v>
      </c>
      <c r="B109" s="9">
        <v>3354</v>
      </c>
      <c r="C109" s="10">
        <v>24980.65</v>
      </c>
      <c r="D109" s="10">
        <f t="shared" si="2"/>
        <v>-8.6015784339806417E-3</v>
      </c>
      <c r="E109" s="10">
        <f t="shared" si="3"/>
        <v>4.1685174428537555E-3</v>
      </c>
    </row>
    <row r="110" spans="1:5" x14ac:dyDescent="0.3">
      <c r="A110" s="8">
        <v>45887</v>
      </c>
      <c r="B110" s="9">
        <v>3383.1</v>
      </c>
      <c r="C110" s="10">
        <v>24876.95</v>
      </c>
      <c r="D110" s="10">
        <f t="shared" si="2"/>
        <v>3.6044588718074297E-2</v>
      </c>
      <c r="E110" s="10">
        <f t="shared" si="3"/>
        <v>9.9730830285044425E-3</v>
      </c>
    </row>
    <row r="111" spans="1:5" x14ac:dyDescent="0.3">
      <c r="A111" s="8">
        <v>45883</v>
      </c>
      <c r="B111" s="9">
        <v>3265.4</v>
      </c>
      <c r="C111" s="10">
        <v>24631.3</v>
      </c>
      <c r="D111" s="10">
        <f t="shared" si="2"/>
        <v>-5.1185180671499998E-3</v>
      </c>
      <c r="E111" s="10">
        <f t="shared" si="3"/>
        <v>4.8539055661504988E-4</v>
      </c>
    </row>
    <row r="112" spans="1:5" x14ac:dyDescent="0.3">
      <c r="A112" s="8">
        <v>45882</v>
      </c>
      <c r="B112" s="9">
        <v>3282.2</v>
      </c>
      <c r="C112" s="10">
        <v>24619.35</v>
      </c>
      <c r="D112" s="10">
        <f t="shared" si="2"/>
        <v>1.4120191564962093E-2</v>
      </c>
      <c r="E112" s="10">
        <f t="shared" si="3"/>
        <v>5.3884855068319663E-3</v>
      </c>
    </row>
    <row r="113" spans="1:5" x14ac:dyDescent="0.3">
      <c r="A113" s="8">
        <v>45881</v>
      </c>
      <c r="B113" s="9">
        <v>3236.5</v>
      </c>
      <c r="C113" s="10">
        <v>24487.4</v>
      </c>
      <c r="D113" s="10">
        <f t="shared" si="2"/>
        <v>1.5786830707425831E-2</v>
      </c>
      <c r="E113" s="10">
        <f t="shared" si="3"/>
        <v>-3.9719260282162459E-3</v>
      </c>
    </row>
    <row r="114" spans="1:5" x14ac:dyDescent="0.3">
      <c r="A114" s="8">
        <v>45880</v>
      </c>
      <c r="B114" s="9">
        <v>3186.2</v>
      </c>
      <c r="C114" s="10">
        <v>24585.05</v>
      </c>
      <c r="D114" s="10">
        <f t="shared" si="2"/>
        <v>1.3357928884930984E-2</v>
      </c>
      <c r="E114" s="10">
        <f t="shared" si="3"/>
        <v>9.1018047637224844E-3</v>
      </c>
    </row>
    <row r="115" spans="1:5" x14ac:dyDescent="0.3">
      <c r="A115" s="8">
        <v>45877</v>
      </c>
      <c r="B115" s="9">
        <v>3144.2</v>
      </c>
      <c r="C115" s="10">
        <v>24363.3</v>
      </c>
      <c r="D115" s="10">
        <f t="shared" si="2"/>
        <v>-2.083398212450565E-2</v>
      </c>
      <c r="E115" s="10">
        <f t="shared" si="3"/>
        <v>-9.4669287673071669E-3</v>
      </c>
    </row>
    <row r="116" spans="1:5" x14ac:dyDescent="0.3">
      <c r="A116" s="8">
        <v>45876</v>
      </c>
      <c r="B116" s="9">
        <v>3211.1</v>
      </c>
      <c r="C116" s="10">
        <v>24596.15</v>
      </c>
      <c r="D116" s="10">
        <f t="shared" si="2"/>
        <v>-5.0813323005422439E-3</v>
      </c>
      <c r="E116" s="10">
        <f t="shared" si="3"/>
        <v>8.9321320734757294E-4</v>
      </c>
    </row>
    <row r="117" spans="1:5" x14ac:dyDescent="0.3">
      <c r="A117" s="8">
        <v>45875</v>
      </c>
      <c r="B117" s="9">
        <v>3227.5</v>
      </c>
      <c r="C117" s="10">
        <v>24574.2</v>
      </c>
      <c r="D117" s="10">
        <f t="shared" si="2"/>
        <v>4.7630907166428564E-3</v>
      </c>
      <c r="E117" s="10">
        <f t="shared" si="3"/>
        <v>-3.0568509364267723E-3</v>
      </c>
    </row>
    <row r="118" spans="1:5" x14ac:dyDescent="0.3">
      <c r="A118" s="8">
        <v>45874</v>
      </c>
      <c r="B118" s="9">
        <v>3212.2</v>
      </c>
      <c r="C118" s="10">
        <v>24649.55</v>
      </c>
      <c r="D118" s="10">
        <f t="shared" si="2"/>
        <v>3.7497656396475224E-3</v>
      </c>
      <c r="E118" s="10">
        <f t="shared" si="3"/>
        <v>-2.9608356675531939E-3</v>
      </c>
    </row>
    <row r="119" spans="1:5" x14ac:dyDescent="0.3">
      <c r="A119" s="8">
        <v>45873</v>
      </c>
      <c r="B119" s="9">
        <v>3200.2</v>
      </c>
      <c r="C119" s="10">
        <v>24722.75</v>
      </c>
      <c r="D119" s="10">
        <f t="shared" si="2"/>
        <v>1.2945905738612868E-2</v>
      </c>
      <c r="E119" s="10">
        <f t="shared" si="3"/>
        <v>6.407399039704359E-3</v>
      </c>
    </row>
    <row r="120" spans="1:5" x14ac:dyDescent="0.3">
      <c r="A120" s="8">
        <v>45870</v>
      </c>
      <c r="B120" s="9">
        <v>3159.3</v>
      </c>
      <c r="C120" s="10">
        <v>24565.35</v>
      </c>
      <c r="D120" s="10">
        <f t="shared" si="2"/>
        <v>-1.3674253067340929E-2</v>
      </c>
      <c r="E120" s="10">
        <f t="shared" si="3"/>
        <v>-8.1959436135229033E-3</v>
      </c>
    </row>
    <row r="121" spans="1:5" x14ac:dyDescent="0.3">
      <c r="A121" s="8">
        <v>45869</v>
      </c>
      <c r="B121" s="9">
        <v>3203.1</v>
      </c>
      <c r="C121" s="10">
        <v>24768.35</v>
      </c>
      <c r="D121" s="10">
        <f t="shared" si="2"/>
        <v>-1.8074729658138868E-3</v>
      </c>
      <c r="E121" s="10">
        <f t="shared" si="3"/>
        <v>-3.4882247269669838E-3</v>
      </c>
    </row>
    <row r="122" spans="1:5" x14ac:dyDescent="0.3">
      <c r="A122" s="8">
        <v>45868</v>
      </c>
      <c r="B122" s="9">
        <v>3208.9</v>
      </c>
      <c r="C122" s="10">
        <v>24855.05</v>
      </c>
      <c r="D122" s="10">
        <f t="shared" si="2"/>
        <v>2.9693067450146902E-3</v>
      </c>
      <c r="E122" s="10">
        <f t="shared" si="3"/>
        <v>1.3677878901418845E-3</v>
      </c>
    </row>
    <row r="123" spans="1:5" x14ac:dyDescent="0.3">
      <c r="A123" s="8">
        <v>45867</v>
      </c>
      <c r="B123" s="9">
        <v>3199.4</v>
      </c>
      <c r="C123" s="10">
        <v>24821.1</v>
      </c>
      <c r="D123" s="10">
        <f t="shared" si="2"/>
        <v>-3.2400772633809243E-3</v>
      </c>
      <c r="E123" s="10">
        <f t="shared" si="3"/>
        <v>5.6805059783069933E-3</v>
      </c>
    </row>
    <row r="124" spans="1:5" x14ac:dyDescent="0.3">
      <c r="A124" s="8">
        <v>45866</v>
      </c>
      <c r="B124" s="9">
        <v>3209.8</v>
      </c>
      <c r="C124" s="10">
        <v>24680.9</v>
      </c>
      <c r="D124" s="10">
        <f t="shared" si="2"/>
        <v>-1.1274026614095585E-2</v>
      </c>
      <c r="E124" s="10">
        <f t="shared" si="3"/>
        <v>-6.2849780569311326E-3</v>
      </c>
    </row>
    <row r="125" spans="1:5" x14ac:dyDescent="0.3">
      <c r="A125" s="8">
        <v>45863</v>
      </c>
      <c r="B125" s="9">
        <v>3246.4</v>
      </c>
      <c r="C125" s="10">
        <v>24837</v>
      </c>
      <c r="D125" s="10">
        <f t="shared" si="2"/>
        <v>-4.446625164831795E-3</v>
      </c>
      <c r="E125" s="10">
        <f t="shared" si="3"/>
        <v>-8.9816894833233667E-3</v>
      </c>
    </row>
    <row r="126" spans="1:5" x14ac:dyDescent="0.3">
      <c r="A126" s="8">
        <v>45862</v>
      </c>
      <c r="B126" s="9">
        <v>3260.9</v>
      </c>
      <c r="C126" s="10">
        <v>25062.1</v>
      </c>
      <c r="D126" s="10">
        <f t="shared" si="2"/>
        <v>-2.4167890357317946E-3</v>
      </c>
      <c r="E126" s="10">
        <f t="shared" si="3"/>
        <v>-6.2569637468825375E-3</v>
      </c>
    </row>
    <row r="127" spans="1:5" x14ac:dyDescent="0.3">
      <c r="A127" s="8">
        <v>45861</v>
      </c>
      <c r="B127" s="9">
        <v>3268.8</v>
      </c>
      <c r="C127" s="10">
        <v>25219.9</v>
      </c>
      <c r="D127" s="10">
        <f t="shared" si="2"/>
        <v>3.5613410291048643E-3</v>
      </c>
      <c r="E127" s="10">
        <f t="shared" si="3"/>
        <v>6.3445446891372608E-3</v>
      </c>
    </row>
    <row r="128" spans="1:5" x14ac:dyDescent="0.3">
      <c r="A128" s="8">
        <v>45860</v>
      </c>
      <c r="B128" s="9">
        <v>3257.2</v>
      </c>
      <c r="C128" s="10">
        <v>25060.9</v>
      </c>
      <c r="D128" s="10">
        <f t="shared" si="2"/>
        <v>3.2340530384698312E-3</v>
      </c>
      <c r="E128" s="10">
        <f t="shared" si="3"/>
        <v>-1.1876910568457346E-3</v>
      </c>
    </row>
    <row r="129" spans="1:5" x14ac:dyDescent="0.3">
      <c r="A129" s="8">
        <v>45859</v>
      </c>
      <c r="B129" s="9">
        <v>3246.7</v>
      </c>
      <c r="C129" s="10">
        <v>25090.7</v>
      </c>
      <c r="D129" s="10">
        <f t="shared" si="2"/>
        <v>1.7009146723468153E-2</v>
      </c>
      <c r="E129" s="10">
        <f t="shared" si="3"/>
        <v>4.8981913138206401E-3</v>
      </c>
    </row>
    <row r="130" spans="1:5" x14ac:dyDescent="0.3">
      <c r="A130" s="8">
        <v>45856</v>
      </c>
      <c r="B130" s="9">
        <v>3192.4</v>
      </c>
      <c r="C130" s="10">
        <v>24968.400000000001</v>
      </c>
      <c r="D130" s="10">
        <f t="shared" si="2"/>
        <v>-8.1377151799684163E-4</v>
      </c>
      <c r="E130" s="10">
        <f t="shared" si="3"/>
        <v>-5.6966045369741397E-3</v>
      </c>
    </row>
    <row r="131" spans="1:5" x14ac:dyDescent="0.3">
      <c r="A131" s="8">
        <v>45855</v>
      </c>
      <c r="B131" s="9">
        <v>3195</v>
      </c>
      <c r="C131" s="10">
        <v>25111.45</v>
      </c>
      <c r="D131" s="10">
        <f t="shared" ref="D131:D194" si="4">(B131-B132)/B132</f>
        <v>-4.6926325668700139E-4</v>
      </c>
      <c r="E131" s="10">
        <f t="shared" ref="E131:E194" si="5">(C131-C132)/C132</f>
        <v>-3.9901555010401196E-3</v>
      </c>
    </row>
    <row r="132" spans="1:5" x14ac:dyDescent="0.3">
      <c r="A132" s="8">
        <v>45854</v>
      </c>
      <c r="B132" s="9">
        <v>3196.5</v>
      </c>
      <c r="C132" s="10">
        <v>25212.05</v>
      </c>
      <c r="D132" s="10">
        <f t="shared" si="4"/>
        <v>2.1702998146135681E-2</v>
      </c>
      <c r="E132" s="10">
        <f t="shared" si="5"/>
        <v>6.4494876130148681E-4</v>
      </c>
    </row>
    <row r="133" spans="1:5" x14ac:dyDescent="0.3">
      <c r="A133" s="8">
        <v>45853</v>
      </c>
      <c r="B133" s="9">
        <v>3128.6</v>
      </c>
      <c r="C133" s="10">
        <v>25195.8</v>
      </c>
      <c r="D133" s="10">
        <f t="shared" si="4"/>
        <v>1.1804275411532617E-2</v>
      </c>
      <c r="E133" s="10">
        <f t="shared" si="5"/>
        <v>4.5251033597397371E-3</v>
      </c>
    </row>
    <row r="134" spans="1:5" x14ac:dyDescent="0.3">
      <c r="A134" s="8">
        <v>45852</v>
      </c>
      <c r="B134" s="9">
        <v>3092.1</v>
      </c>
      <c r="C134" s="10">
        <v>25082.3</v>
      </c>
      <c r="D134" s="10">
        <f t="shared" si="4"/>
        <v>6.1499414291292763E-3</v>
      </c>
      <c r="E134" s="10">
        <f t="shared" si="5"/>
        <v>-2.6859007111374135E-3</v>
      </c>
    </row>
    <row r="135" spans="1:5" x14ac:dyDescent="0.3">
      <c r="A135" s="8">
        <v>45849</v>
      </c>
      <c r="B135" s="9">
        <v>3073.2</v>
      </c>
      <c r="C135" s="10">
        <v>25149.85</v>
      </c>
      <c r="D135" s="10">
        <f t="shared" si="4"/>
        <v>-2.8206425499620626E-2</v>
      </c>
      <c r="E135" s="10">
        <f t="shared" si="5"/>
        <v>-8.1008864041964262E-3</v>
      </c>
    </row>
    <row r="136" spans="1:5" x14ac:dyDescent="0.3">
      <c r="A136" s="8">
        <v>45848</v>
      </c>
      <c r="B136" s="9">
        <v>3162.4</v>
      </c>
      <c r="C136" s="10">
        <v>25355.25</v>
      </c>
      <c r="D136" s="10">
        <f t="shared" si="4"/>
        <v>-4.3761609419765415E-3</v>
      </c>
      <c r="E136" s="10">
        <f t="shared" si="5"/>
        <v>-4.7436617064620787E-3</v>
      </c>
    </row>
    <row r="137" spans="1:5" x14ac:dyDescent="0.3">
      <c r="A137" s="8">
        <v>45847</v>
      </c>
      <c r="B137" s="9">
        <v>3176.3</v>
      </c>
      <c r="C137" s="10">
        <v>25476.1</v>
      </c>
      <c r="D137" s="10">
        <f t="shared" si="4"/>
        <v>5.8266569555717697E-3</v>
      </c>
      <c r="E137" s="10">
        <f t="shared" si="5"/>
        <v>-1.8180037222059538E-3</v>
      </c>
    </row>
    <row r="138" spans="1:5" x14ac:dyDescent="0.3">
      <c r="A138" s="8">
        <v>45846</v>
      </c>
      <c r="B138" s="9">
        <v>3157.9</v>
      </c>
      <c r="C138" s="10">
        <v>25522.5</v>
      </c>
      <c r="D138" s="10">
        <f t="shared" si="4"/>
        <v>-7.278020378456197E-4</v>
      </c>
      <c r="E138" s="10">
        <f t="shared" si="5"/>
        <v>2.4036478891494438E-3</v>
      </c>
    </row>
    <row r="139" spans="1:5" x14ac:dyDescent="0.3">
      <c r="A139" s="8">
        <v>45845</v>
      </c>
      <c r="B139" s="9">
        <v>3160.2</v>
      </c>
      <c r="C139" s="10">
        <v>25461.3</v>
      </c>
      <c r="D139" s="10">
        <f t="shared" si="4"/>
        <v>-7.272727272727848E-4</v>
      </c>
      <c r="E139" s="10">
        <f t="shared" si="5"/>
        <v>1.1782726522888827E-5</v>
      </c>
    </row>
    <row r="140" spans="1:5" x14ac:dyDescent="0.3">
      <c r="A140" s="8">
        <v>45842</v>
      </c>
      <c r="B140" s="9">
        <v>3162.5</v>
      </c>
      <c r="C140" s="10">
        <v>25461</v>
      </c>
      <c r="D140" s="10">
        <f t="shared" si="4"/>
        <v>-3.748739919354867E-3</v>
      </c>
      <c r="E140" s="10">
        <f t="shared" si="5"/>
        <v>2.1924559048702723E-3</v>
      </c>
    </row>
    <row r="141" spans="1:5" x14ac:dyDescent="0.3">
      <c r="A141" s="8">
        <v>45841</v>
      </c>
      <c r="B141" s="9">
        <v>3174.4</v>
      </c>
      <c r="C141" s="10">
        <v>25405.3</v>
      </c>
      <c r="D141" s="10">
        <f t="shared" si="4"/>
        <v>2.9066093769746851E-3</v>
      </c>
      <c r="E141" s="10">
        <f t="shared" si="5"/>
        <v>-1.8897278948982132E-3</v>
      </c>
    </row>
    <row r="142" spans="1:5" x14ac:dyDescent="0.3">
      <c r="A142" s="8">
        <v>45840</v>
      </c>
      <c r="B142" s="9">
        <v>3165.2</v>
      </c>
      <c r="C142" s="10">
        <v>25453.4</v>
      </c>
      <c r="D142" s="10">
        <f t="shared" si="4"/>
        <v>-3.4318818676994083E-3</v>
      </c>
      <c r="E142" s="10">
        <f t="shared" si="5"/>
        <v>-3.4609933520737702E-3</v>
      </c>
    </row>
    <row r="143" spans="1:5" x14ac:dyDescent="0.3">
      <c r="A143" s="8">
        <v>45839</v>
      </c>
      <c r="B143" s="9">
        <v>3176.1</v>
      </c>
      <c r="C143" s="10">
        <v>25541.8</v>
      </c>
      <c r="D143" s="10">
        <f t="shared" si="4"/>
        <v>-2.2304599145513662E-3</v>
      </c>
      <c r="E143" s="10">
        <f t="shared" si="5"/>
        <v>9.6993970698023484E-4</v>
      </c>
    </row>
    <row r="144" spans="1:5" x14ac:dyDescent="0.3">
      <c r="A144" s="8">
        <v>45838</v>
      </c>
      <c r="B144" s="9">
        <v>3183.2</v>
      </c>
      <c r="C144" s="10">
        <v>25517.05</v>
      </c>
      <c r="D144" s="10">
        <f t="shared" si="4"/>
        <v>-6.2747791340181571E-3</v>
      </c>
      <c r="E144" s="10">
        <f t="shared" si="5"/>
        <v>-4.7098424981862723E-3</v>
      </c>
    </row>
    <row r="145" spans="1:5" x14ac:dyDescent="0.3">
      <c r="A145" s="8">
        <v>45835</v>
      </c>
      <c r="B145" s="9">
        <v>3203.3</v>
      </c>
      <c r="C145" s="10">
        <v>25637.8</v>
      </c>
      <c r="D145" s="10">
        <f t="shared" si="4"/>
        <v>-3.8870576528391067E-3</v>
      </c>
      <c r="E145" s="10">
        <f t="shared" si="5"/>
        <v>3.4756741946846948E-3</v>
      </c>
    </row>
    <row r="146" spans="1:5" x14ac:dyDescent="0.3">
      <c r="A146" s="8">
        <v>45834</v>
      </c>
      <c r="B146" s="9">
        <v>3215.8</v>
      </c>
      <c r="C146" s="10">
        <v>25549</v>
      </c>
      <c r="D146" s="10">
        <f t="shared" si="4"/>
        <v>9.3298087389265095E-5</v>
      </c>
      <c r="E146" s="10">
        <f t="shared" si="5"/>
        <v>1.205201081412967E-2</v>
      </c>
    </row>
    <row r="147" spans="1:5" x14ac:dyDescent="0.3">
      <c r="A147" s="8">
        <v>45833</v>
      </c>
      <c r="B147" s="9">
        <v>3215.5</v>
      </c>
      <c r="C147" s="10">
        <v>25244.75</v>
      </c>
      <c r="D147" s="10">
        <f t="shared" si="4"/>
        <v>2.0761245674740515E-2</v>
      </c>
      <c r="E147" s="10">
        <f t="shared" si="5"/>
        <v>8.0018047982878954E-3</v>
      </c>
    </row>
    <row r="148" spans="1:5" x14ac:dyDescent="0.3">
      <c r="A148" s="8">
        <v>45832</v>
      </c>
      <c r="B148" s="9">
        <v>3150.1</v>
      </c>
      <c r="C148" s="10">
        <v>25044.35</v>
      </c>
      <c r="D148" s="10">
        <f t="shared" si="4"/>
        <v>4.8165869218500506E-3</v>
      </c>
      <c r="E148" s="10">
        <f t="shared" si="5"/>
        <v>2.9012610173834224E-3</v>
      </c>
    </row>
    <row r="149" spans="1:5" x14ac:dyDescent="0.3">
      <c r="A149" s="8">
        <v>45831</v>
      </c>
      <c r="B149" s="9">
        <v>3135</v>
      </c>
      <c r="C149" s="10">
        <v>24971.9</v>
      </c>
      <c r="D149" s="10">
        <f t="shared" si="4"/>
        <v>-1.5513126491646807E-2</v>
      </c>
      <c r="E149" s="10">
        <f t="shared" si="5"/>
        <v>-5.5948455742979557E-3</v>
      </c>
    </row>
    <row r="150" spans="1:5" x14ac:dyDescent="0.3">
      <c r="A150" s="8">
        <v>45828</v>
      </c>
      <c r="B150" s="9">
        <v>3184.4</v>
      </c>
      <c r="C150" s="10">
        <v>25112.400000000001</v>
      </c>
      <c r="D150" s="10">
        <f t="shared" si="4"/>
        <v>2.8951790099521747E-2</v>
      </c>
      <c r="E150" s="10">
        <f t="shared" si="5"/>
        <v>1.2872455204541618E-2</v>
      </c>
    </row>
    <row r="151" spans="1:5" x14ac:dyDescent="0.3">
      <c r="A151" s="8">
        <v>45827</v>
      </c>
      <c r="B151" s="9">
        <v>3094.8</v>
      </c>
      <c r="C151" s="10">
        <v>24793.25</v>
      </c>
      <c r="D151" s="10">
        <f t="shared" si="4"/>
        <v>1.7658084245832189E-2</v>
      </c>
      <c r="E151" s="10">
        <f t="shared" si="5"/>
        <v>-7.5769636124380178E-4</v>
      </c>
    </row>
    <row r="152" spans="1:5" x14ac:dyDescent="0.3">
      <c r="A152" s="8">
        <v>45826</v>
      </c>
      <c r="B152" s="9">
        <v>3041.1</v>
      </c>
      <c r="C152" s="10">
        <v>24812.05</v>
      </c>
      <c r="D152" s="10">
        <f t="shared" si="4"/>
        <v>1.127294493216284E-2</v>
      </c>
      <c r="E152" s="10">
        <f t="shared" si="5"/>
        <v>-1.6637562667482992E-3</v>
      </c>
    </row>
    <row r="153" spans="1:5" x14ac:dyDescent="0.3">
      <c r="A153" s="8">
        <v>45825</v>
      </c>
      <c r="B153" s="9">
        <v>3007.2</v>
      </c>
      <c r="C153" s="10">
        <v>24853.4</v>
      </c>
      <c r="D153" s="10">
        <f t="shared" si="4"/>
        <v>-5.4239978833179291E-3</v>
      </c>
      <c r="E153" s="10">
        <f t="shared" si="5"/>
        <v>-3.7319864510050927E-3</v>
      </c>
    </row>
    <row r="154" spans="1:5" x14ac:dyDescent="0.3">
      <c r="A154" s="8">
        <v>45824</v>
      </c>
      <c r="B154" s="9">
        <v>3023.6</v>
      </c>
      <c r="C154" s="10">
        <v>24946.5</v>
      </c>
      <c r="D154" s="10">
        <f t="shared" si="4"/>
        <v>5.8549567531603159E-3</v>
      </c>
      <c r="E154" s="10">
        <f t="shared" si="5"/>
        <v>9.2197778191322102E-3</v>
      </c>
    </row>
    <row r="155" spans="1:5" x14ac:dyDescent="0.3">
      <c r="A155" s="8">
        <v>45821</v>
      </c>
      <c r="B155" s="9">
        <v>3006</v>
      </c>
      <c r="C155" s="10">
        <v>24718.6</v>
      </c>
      <c r="D155" s="10">
        <f t="shared" si="4"/>
        <v>-4.3720190779013707E-3</v>
      </c>
      <c r="E155" s="10">
        <f t="shared" si="5"/>
        <v>-6.8144743292002704E-3</v>
      </c>
    </row>
    <row r="156" spans="1:5" x14ac:dyDescent="0.3">
      <c r="A156" s="8">
        <v>45820</v>
      </c>
      <c r="B156" s="9">
        <v>3019.2</v>
      </c>
      <c r="C156" s="10">
        <v>24888.2</v>
      </c>
      <c r="D156" s="10">
        <f t="shared" si="4"/>
        <v>-1.9962995423118125E-2</v>
      </c>
      <c r="E156" s="10">
        <f t="shared" si="5"/>
        <v>-1.0071038207896168E-2</v>
      </c>
    </row>
    <row r="157" spans="1:5" x14ac:dyDescent="0.3">
      <c r="A157" s="8">
        <v>45819</v>
      </c>
      <c r="B157" s="9">
        <v>3080.7</v>
      </c>
      <c r="C157" s="10">
        <v>25141.4</v>
      </c>
      <c r="D157" s="10">
        <f t="shared" si="4"/>
        <v>4.3031784841075201E-3</v>
      </c>
      <c r="E157" s="10">
        <f t="shared" si="5"/>
        <v>1.479829112600514E-3</v>
      </c>
    </row>
    <row r="158" spans="1:5" x14ac:dyDescent="0.3">
      <c r="A158" s="8">
        <v>45818</v>
      </c>
      <c r="B158" s="9">
        <v>3067.5</v>
      </c>
      <c r="C158" s="10">
        <v>25104.25</v>
      </c>
      <c r="D158" s="10">
        <f t="shared" si="4"/>
        <v>-6.445552892401403E-3</v>
      </c>
      <c r="E158" s="10">
        <f t="shared" si="5"/>
        <v>4.1827336753850999E-5</v>
      </c>
    </row>
    <row r="159" spans="1:5" x14ac:dyDescent="0.3">
      <c r="A159" s="8">
        <v>45817</v>
      </c>
      <c r="B159" s="9">
        <v>3087.4</v>
      </c>
      <c r="C159" s="10">
        <v>25103.200000000001</v>
      </c>
      <c r="D159" s="10">
        <f t="shared" si="4"/>
        <v>-6.148398519233835E-3</v>
      </c>
      <c r="E159" s="10">
        <f t="shared" si="5"/>
        <v>4.0055113276180887E-3</v>
      </c>
    </row>
    <row r="160" spans="1:5" x14ac:dyDescent="0.3">
      <c r="A160" s="8">
        <v>45814</v>
      </c>
      <c r="B160" s="9">
        <v>3106.5</v>
      </c>
      <c r="C160" s="10">
        <v>25003.05</v>
      </c>
      <c r="D160" s="10">
        <f t="shared" si="4"/>
        <v>2.133745397159393E-2</v>
      </c>
      <c r="E160" s="10">
        <f t="shared" si="5"/>
        <v>1.0187508333030225E-2</v>
      </c>
    </row>
    <row r="161" spans="1:5" x14ac:dyDescent="0.3">
      <c r="A161" s="8">
        <v>45813</v>
      </c>
      <c r="B161" s="9">
        <v>3041.6</v>
      </c>
      <c r="C161" s="10">
        <v>24750.9</v>
      </c>
      <c r="D161" s="10">
        <f t="shared" si="4"/>
        <v>-3.8645444422611454E-3</v>
      </c>
      <c r="E161" s="10">
        <f t="shared" si="5"/>
        <v>5.308648995540277E-3</v>
      </c>
    </row>
    <row r="162" spans="1:5" x14ac:dyDescent="0.3">
      <c r="A162" s="8">
        <v>45812</v>
      </c>
      <c r="B162" s="9">
        <v>3053.4</v>
      </c>
      <c r="C162" s="10">
        <v>24620.2</v>
      </c>
      <c r="D162" s="10">
        <f t="shared" si="4"/>
        <v>2.2648941408173612E-3</v>
      </c>
      <c r="E162" s="10">
        <f t="shared" si="5"/>
        <v>3.165936640521574E-3</v>
      </c>
    </row>
    <row r="163" spans="1:5" x14ac:dyDescent="0.3">
      <c r="A163" s="8">
        <v>45811</v>
      </c>
      <c r="B163" s="9">
        <v>3046.5</v>
      </c>
      <c r="C163" s="10">
        <v>24542.5</v>
      </c>
      <c r="D163" s="10">
        <f t="shared" si="4"/>
        <v>6.8078918668825501E-3</v>
      </c>
      <c r="E163" s="10">
        <f t="shared" si="5"/>
        <v>-7.0438490730925186E-3</v>
      </c>
    </row>
    <row r="164" spans="1:5" x14ac:dyDescent="0.3">
      <c r="A164" s="8">
        <v>45810</v>
      </c>
      <c r="B164" s="9">
        <v>3025.9</v>
      </c>
      <c r="C164" s="10">
        <v>24716.6</v>
      </c>
      <c r="D164" s="10">
        <f t="shared" si="4"/>
        <v>1.6494221983337779E-2</v>
      </c>
      <c r="E164" s="10">
        <f t="shared" si="5"/>
        <v>-1.3777388114276437E-3</v>
      </c>
    </row>
    <row r="165" spans="1:5" x14ac:dyDescent="0.3">
      <c r="A165" s="8">
        <v>45807</v>
      </c>
      <c r="B165" s="9">
        <v>2976.8</v>
      </c>
      <c r="C165" s="10">
        <v>24750.7</v>
      </c>
      <c r="D165" s="10">
        <f t="shared" si="4"/>
        <v>-1.0701229644400073E-2</v>
      </c>
      <c r="E165" s="10">
        <f t="shared" si="5"/>
        <v>-3.3382191869079725E-3</v>
      </c>
    </row>
    <row r="166" spans="1:5" x14ac:dyDescent="0.3">
      <c r="A166" s="8">
        <v>45806</v>
      </c>
      <c r="B166" s="9">
        <v>3009</v>
      </c>
      <c r="C166" s="10">
        <v>24833.599999999999</v>
      </c>
      <c r="D166" s="10">
        <f t="shared" si="4"/>
        <v>3.7360731202881504E-3</v>
      </c>
      <c r="E166" s="10">
        <f t="shared" si="5"/>
        <v>3.2784633440325226E-3</v>
      </c>
    </row>
    <row r="167" spans="1:5" x14ac:dyDescent="0.3">
      <c r="A167" s="8">
        <v>45805</v>
      </c>
      <c r="B167" s="9">
        <v>2997.8</v>
      </c>
      <c r="C167" s="10">
        <v>24752.45</v>
      </c>
      <c r="D167" s="10">
        <f t="shared" si="4"/>
        <v>-1.3816698467004408E-2</v>
      </c>
      <c r="E167" s="10">
        <f t="shared" si="5"/>
        <v>-2.9706519725129095E-3</v>
      </c>
    </row>
    <row r="168" spans="1:5" x14ac:dyDescent="0.3">
      <c r="A168" s="8">
        <v>45804</v>
      </c>
      <c r="B168" s="9">
        <v>3039.8</v>
      </c>
      <c r="C168" s="10">
        <v>24826.2</v>
      </c>
      <c r="D168" s="10">
        <f t="shared" si="4"/>
        <v>-1.3116031426530627E-2</v>
      </c>
      <c r="E168" s="10">
        <f t="shared" si="5"/>
        <v>-6.9976781068071155E-3</v>
      </c>
    </row>
    <row r="169" spans="1:5" x14ac:dyDescent="0.3">
      <c r="A169" s="8">
        <v>45803</v>
      </c>
      <c r="B169" s="9">
        <v>3080.2</v>
      </c>
      <c r="C169" s="10">
        <v>25001.15</v>
      </c>
      <c r="D169" s="10">
        <f t="shared" si="4"/>
        <v>2.2405151525209947E-2</v>
      </c>
      <c r="E169" s="10">
        <f t="shared" si="5"/>
        <v>5.9549795498759711E-3</v>
      </c>
    </row>
    <row r="170" spans="1:5" x14ac:dyDescent="0.3">
      <c r="A170" s="8">
        <v>45800</v>
      </c>
      <c r="B170" s="9">
        <v>3012.7</v>
      </c>
      <c r="C170" s="10">
        <v>24853.15</v>
      </c>
      <c r="D170" s="10">
        <f t="shared" si="4"/>
        <v>2.1288627216178146E-3</v>
      </c>
      <c r="E170" s="10">
        <f t="shared" si="5"/>
        <v>9.8924407855439413E-3</v>
      </c>
    </row>
    <row r="171" spans="1:5" x14ac:dyDescent="0.3">
      <c r="A171" s="8">
        <v>45799</v>
      </c>
      <c r="B171" s="9">
        <v>3006.3</v>
      </c>
      <c r="C171" s="10">
        <v>24609.7</v>
      </c>
      <c r="D171" s="10">
        <f t="shared" si="4"/>
        <v>-2.7307729640534392E-2</v>
      </c>
      <c r="E171" s="10">
        <f t="shared" si="5"/>
        <v>-8.2112725155107404E-3</v>
      </c>
    </row>
    <row r="172" spans="1:5" x14ac:dyDescent="0.3">
      <c r="A172" s="8">
        <v>45798</v>
      </c>
      <c r="B172" s="9">
        <v>3090.7</v>
      </c>
      <c r="C172" s="10">
        <v>24813.45</v>
      </c>
      <c r="D172" s="10">
        <f t="shared" si="4"/>
        <v>8.8787334747836844E-3</v>
      </c>
      <c r="E172" s="10">
        <f t="shared" si="5"/>
        <v>5.2483602672186835E-3</v>
      </c>
    </row>
    <row r="173" spans="1:5" x14ac:dyDescent="0.3">
      <c r="A173" s="8">
        <v>45797</v>
      </c>
      <c r="B173" s="9">
        <v>3063.5</v>
      </c>
      <c r="C173" s="10">
        <v>24683.9</v>
      </c>
      <c r="D173" s="10">
        <f t="shared" si="4"/>
        <v>-2.0620204603580564E-2</v>
      </c>
      <c r="E173" s="10">
        <f t="shared" si="5"/>
        <v>-1.0484878003804271E-2</v>
      </c>
    </row>
    <row r="174" spans="1:5" x14ac:dyDescent="0.3">
      <c r="A174" s="8">
        <v>45796</v>
      </c>
      <c r="B174" s="9">
        <v>3128</v>
      </c>
      <c r="C174" s="10">
        <v>24945.45</v>
      </c>
      <c r="D174" s="10">
        <f t="shared" si="4"/>
        <v>-2.4237785431814995E-3</v>
      </c>
      <c r="E174" s="10">
        <f t="shared" si="5"/>
        <v>-2.9716464560067845E-3</v>
      </c>
    </row>
    <row r="175" spans="1:5" x14ac:dyDescent="0.3">
      <c r="A175" s="8">
        <v>45793</v>
      </c>
      <c r="B175" s="9">
        <v>3135.6</v>
      </c>
      <c r="C175" s="10">
        <v>25019.8</v>
      </c>
      <c r="D175" s="10">
        <f t="shared" si="4"/>
        <v>-2.7669115542410944E-3</v>
      </c>
      <c r="E175" s="10">
        <f t="shared" si="5"/>
        <v>-1.6878074862042396E-3</v>
      </c>
    </row>
    <row r="176" spans="1:5" x14ac:dyDescent="0.3">
      <c r="A176" s="8">
        <v>45792</v>
      </c>
      <c r="B176" s="9">
        <v>3144.3</v>
      </c>
      <c r="C176" s="10">
        <v>25062.1</v>
      </c>
      <c r="D176" s="10">
        <f t="shared" si="4"/>
        <v>1.3701721581017474E-2</v>
      </c>
      <c r="E176" s="10">
        <f t="shared" si="5"/>
        <v>1.6021470067174921E-2</v>
      </c>
    </row>
    <row r="177" spans="1:5" x14ac:dyDescent="0.3">
      <c r="A177" s="8">
        <v>45791</v>
      </c>
      <c r="B177" s="9">
        <v>3101.8</v>
      </c>
      <c r="C177" s="10">
        <v>24666.9</v>
      </c>
      <c r="D177" s="10">
        <f t="shared" si="4"/>
        <v>1.5718121684458707E-2</v>
      </c>
      <c r="E177" s="10">
        <f t="shared" si="5"/>
        <v>3.6027642213575326E-3</v>
      </c>
    </row>
    <row r="178" spans="1:5" x14ac:dyDescent="0.3">
      <c r="A178" s="8">
        <v>45790</v>
      </c>
      <c r="B178" s="9">
        <v>3053.8</v>
      </c>
      <c r="C178" s="10">
        <v>24578.35</v>
      </c>
      <c r="D178" s="10">
        <f t="shared" si="4"/>
        <v>-1.6394498663316791E-2</v>
      </c>
      <c r="E178" s="10">
        <f t="shared" si="5"/>
        <v>-1.389585431319142E-2</v>
      </c>
    </row>
    <row r="179" spans="1:5" x14ac:dyDescent="0.3">
      <c r="A179" s="8">
        <v>45789</v>
      </c>
      <c r="B179" s="9">
        <v>3104.7</v>
      </c>
      <c r="C179" s="10">
        <v>24924.7</v>
      </c>
      <c r="D179" s="10">
        <f t="shared" si="4"/>
        <v>4.1111968076187895E-2</v>
      </c>
      <c r="E179" s="10">
        <f t="shared" si="5"/>
        <v>3.8183105631456209E-2</v>
      </c>
    </row>
    <row r="180" spans="1:5" x14ac:dyDescent="0.3">
      <c r="A180" s="8">
        <v>45786</v>
      </c>
      <c r="B180" s="9">
        <v>2982.1</v>
      </c>
      <c r="C180" s="10">
        <v>24008</v>
      </c>
      <c r="D180" s="10">
        <f t="shared" si="4"/>
        <v>-1.6814480234743332E-2</v>
      </c>
      <c r="E180" s="10">
        <f t="shared" si="5"/>
        <v>-1.095007786172743E-2</v>
      </c>
    </row>
    <row r="181" spans="1:5" x14ac:dyDescent="0.3">
      <c r="A181" s="8">
        <v>45785</v>
      </c>
      <c r="B181" s="9">
        <v>3033.1</v>
      </c>
      <c r="C181" s="10">
        <v>24273.8</v>
      </c>
      <c r="D181" s="10">
        <f t="shared" si="4"/>
        <v>-2.7821404532196604E-2</v>
      </c>
      <c r="E181" s="10">
        <f t="shared" si="5"/>
        <v>-5.7588963890164071E-3</v>
      </c>
    </row>
    <row r="182" spans="1:5" x14ac:dyDescent="0.3">
      <c r="A182" s="8">
        <v>45784</v>
      </c>
      <c r="B182" s="9">
        <v>3119.9</v>
      </c>
      <c r="C182" s="10">
        <v>24414.400000000001</v>
      </c>
      <c r="D182" s="10">
        <f t="shared" si="4"/>
        <v>1.6783991656889582E-2</v>
      </c>
      <c r="E182" s="10">
        <f t="shared" si="5"/>
        <v>1.4274229273656218E-3</v>
      </c>
    </row>
    <row r="183" spans="1:5" x14ac:dyDescent="0.3">
      <c r="A183" s="8">
        <v>45783</v>
      </c>
      <c r="B183" s="9">
        <v>3068.4</v>
      </c>
      <c r="C183" s="10">
        <v>24379.599999999999</v>
      </c>
      <c r="D183" s="10">
        <f t="shared" si="4"/>
        <v>1.5522091676319738E-2</v>
      </c>
      <c r="E183" s="10">
        <f t="shared" si="5"/>
        <v>-3.333857974788712E-3</v>
      </c>
    </row>
    <row r="184" spans="1:5" x14ac:dyDescent="0.3">
      <c r="A184" s="8">
        <v>45782</v>
      </c>
      <c r="B184" s="9">
        <v>3021.5</v>
      </c>
      <c r="C184" s="10">
        <v>24461.15</v>
      </c>
      <c r="D184" s="10">
        <f t="shared" si="4"/>
        <v>3.2567835417948256E-2</v>
      </c>
      <c r="E184" s="10">
        <f t="shared" si="5"/>
        <v>4.700842413961675E-3</v>
      </c>
    </row>
    <row r="185" spans="1:5" x14ac:dyDescent="0.3">
      <c r="A185" s="8">
        <v>45779</v>
      </c>
      <c r="B185" s="9">
        <v>2926.2</v>
      </c>
      <c r="C185" s="10">
        <v>24346.7</v>
      </c>
      <c r="D185" s="10">
        <f t="shared" si="4"/>
        <v>-8.877355913686027E-4</v>
      </c>
      <c r="E185" s="10">
        <f t="shared" si="5"/>
        <v>5.1368033467301161E-4</v>
      </c>
    </row>
    <row r="186" spans="1:5" x14ac:dyDescent="0.3">
      <c r="A186" s="8">
        <v>45777</v>
      </c>
      <c r="B186" s="9">
        <v>2928.8</v>
      </c>
      <c r="C186" s="10">
        <v>24334.2</v>
      </c>
      <c r="D186" s="10">
        <f t="shared" si="4"/>
        <v>6.5988452020897285E-3</v>
      </c>
      <c r="E186" s="10">
        <f t="shared" si="5"/>
        <v>-7.1910075423396255E-5</v>
      </c>
    </row>
    <row r="187" spans="1:5" x14ac:dyDescent="0.3">
      <c r="A187" s="8">
        <v>45776</v>
      </c>
      <c r="B187" s="9">
        <v>2909.6</v>
      </c>
      <c r="C187" s="10">
        <v>24335.95</v>
      </c>
      <c r="D187" s="10">
        <f t="shared" si="4"/>
        <v>-7.1657681020951347E-3</v>
      </c>
      <c r="E187" s="10">
        <f t="shared" si="5"/>
        <v>3.0622520911690931E-4</v>
      </c>
    </row>
    <row r="188" spans="1:5" x14ac:dyDescent="0.3">
      <c r="A188" s="8">
        <v>45775</v>
      </c>
      <c r="B188" s="9">
        <v>2930.6</v>
      </c>
      <c r="C188" s="10">
        <v>24328.5</v>
      </c>
      <c r="D188" s="10">
        <f t="shared" si="4"/>
        <v>2.3182738635570174E-2</v>
      </c>
      <c r="E188" s="10">
        <f t="shared" si="5"/>
        <v>1.2028195437896677E-2</v>
      </c>
    </row>
    <row r="189" spans="1:5" x14ac:dyDescent="0.3">
      <c r="A189" s="8">
        <v>45772</v>
      </c>
      <c r="B189" s="9">
        <v>2864.2</v>
      </c>
      <c r="C189" s="10">
        <v>24039.35</v>
      </c>
      <c r="D189" s="10">
        <f t="shared" si="4"/>
        <v>-1.2821396567174561E-2</v>
      </c>
      <c r="E189" s="10">
        <f t="shared" si="5"/>
        <v>-8.5516791975816155E-3</v>
      </c>
    </row>
    <row r="190" spans="1:5" x14ac:dyDescent="0.3">
      <c r="A190" s="8">
        <v>45771</v>
      </c>
      <c r="B190" s="9">
        <v>2901.4</v>
      </c>
      <c r="C190" s="10">
        <v>24246.7</v>
      </c>
      <c r="D190" s="10">
        <f t="shared" si="4"/>
        <v>-5.620673109877336E-3</v>
      </c>
      <c r="E190" s="10">
        <f t="shared" si="5"/>
        <v>-3.3807459836943227E-3</v>
      </c>
    </row>
    <row r="191" spans="1:5" x14ac:dyDescent="0.3">
      <c r="A191" s="8">
        <v>45770</v>
      </c>
      <c r="B191" s="9">
        <v>2917.8</v>
      </c>
      <c r="C191" s="10">
        <v>24328.95</v>
      </c>
      <c r="D191" s="10">
        <f t="shared" si="4"/>
        <v>3.5745979908416554E-2</v>
      </c>
      <c r="E191" s="10">
        <f t="shared" si="5"/>
        <v>6.6908729789281248E-3</v>
      </c>
    </row>
    <row r="192" spans="1:5" x14ac:dyDescent="0.3">
      <c r="A192" s="8">
        <v>45769</v>
      </c>
      <c r="B192" s="9">
        <v>2817.1</v>
      </c>
      <c r="C192" s="10">
        <v>24167.25</v>
      </c>
      <c r="D192" s="10">
        <f t="shared" si="4"/>
        <v>1.9211287988422542E-2</v>
      </c>
      <c r="E192" s="10">
        <f t="shared" si="5"/>
        <v>1.7284580040662588E-3</v>
      </c>
    </row>
    <row r="193" spans="1:5" x14ac:dyDescent="0.3">
      <c r="A193" s="8">
        <v>45768</v>
      </c>
      <c r="B193" s="9">
        <v>2764</v>
      </c>
      <c r="C193" s="10">
        <v>24125.55</v>
      </c>
      <c r="D193" s="10">
        <f t="shared" si="4"/>
        <v>3.1574233037247108E-2</v>
      </c>
      <c r="E193" s="10">
        <f t="shared" si="5"/>
        <v>1.1483482274811085E-2</v>
      </c>
    </row>
    <row r="194" spans="1:5" x14ac:dyDescent="0.3">
      <c r="A194" s="8">
        <v>45764</v>
      </c>
      <c r="B194" s="9">
        <v>2679.4</v>
      </c>
      <c r="C194" s="10">
        <v>23851.65</v>
      </c>
      <c r="D194" s="10">
        <f t="shared" si="4"/>
        <v>1.7004478858270774E-2</v>
      </c>
      <c r="E194" s="10">
        <f t="shared" si="5"/>
        <v>1.7683426347857283E-2</v>
      </c>
    </row>
    <row r="195" spans="1:5" x14ac:dyDescent="0.3">
      <c r="A195" s="8">
        <v>45763</v>
      </c>
      <c r="B195" s="9">
        <v>2634.6</v>
      </c>
      <c r="C195" s="10">
        <v>23437.200000000001</v>
      </c>
      <c r="D195" s="10">
        <f t="shared" ref="D195:D247" si="6">(B195-B196)/B196</f>
        <v>-4.3083900226757715E-3</v>
      </c>
      <c r="E195" s="10">
        <f t="shared" ref="E195:E247" si="7">(C195-C196)/C196</f>
        <v>4.6573833350123115E-3</v>
      </c>
    </row>
    <row r="196" spans="1:5" x14ac:dyDescent="0.3">
      <c r="A196" s="8">
        <v>45762</v>
      </c>
      <c r="B196" s="9">
        <v>2646</v>
      </c>
      <c r="C196" s="10">
        <v>23328.55</v>
      </c>
      <c r="D196" s="10">
        <f t="shared" si="6"/>
        <v>2.5442284961342491E-2</v>
      </c>
      <c r="E196" s="10">
        <f t="shared" si="7"/>
        <v>2.1902398531663203E-2</v>
      </c>
    </row>
    <row r="197" spans="1:5" x14ac:dyDescent="0.3">
      <c r="A197" s="8">
        <v>45758</v>
      </c>
      <c r="B197" s="9">
        <v>2580.35</v>
      </c>
      <c r="C197" s="10">
        <v>22828.55</v>
      </c>
      <c r="D197" s="10">
        <f t="shared" si="6"/>
        <v>2.269034124687884E-2</v>
      </c>
      <c r="E197" s="10">
        <f t="shared" si="7"/>
        <v>1.9170370304230196E-2</v>
      </c>
    </row>
    <row r="198" spans="1:5" x14ac:dyDescent="0.3">
      <c r="A198" s="8">
        <v>45756</v>
      </c>
      <c r="B198" s="9">
        <v>2523.1</v>
      </c>
      <c r="C198" s="10">
        <v>22399.15</v>
      </c>
      <c r="D198" s="10">
        <f t="shared" si="6"/>
        <v>-2.1793830364756677E-4</v>
      </c>
      <c r="E198" s="10">
        <f t="shared" si="7"/>
        <v>-6.06589056991403E-3</v>
      </c>
    </row>
    <row r="199" spans="1:5" x14ac:dyDescent="0.3">
      <c r="A199" s="8">
        <v>45755</v>
      </c>
      <c r="B199" s="9">
        <v>2523.65</v>
      </c>
      <c r="C199" s="10">
        <v>22535.85</v>
      </c>
      <c r="D199" s="10">
        <f t="shared" si="6"/>
        <v>1.3005519317611677E-2</v>
      </c>
      <c r="E199" s="10">
        <f t="shared" si="7"/>
        <v>1.6887318605154862E-2</v>
      </c>
    </row>
    <row r="200" spans="1:5" x14ac:dyDescent="0.3">
      <c r="A200" s="8">
        <v>45754</v>
      </c>
      <c r="B200" s="9">
        <v>2491.25</v>
      </c>
      <c r="C200" s="10">
        <v>22161.599999999999</v>
      </c>
      <c r="D200" s="10">
        <f t="shared" si="6"/>
        <v>-4.0553811788719717E-2</v>
      </c>
      <c r="E200" s="10">
        <f t="shared" si="7"/>
        <v>-3.2432562231356883E-2</v>
      </c>
    </row>
    <row r="201" spans="1:5" x14ac:dyDescent="0.3">
      <c r="A201" s="8">
        <v>45751</v>
      </c>
      <c r="B201" s="9">
        <v>2596.5500000000002</v>
      </c>
      <c r="C201" s="10">
        <v>22904.45</v>
      </c>
      <c r="D201" s="10">
        <f t="shared" si="6"/>
        <v>-5.7056424591700539E-3</v>
      </c>
      <c r="E201" s="10">
        <f t="shared" si="7"/>
        <v>-1.4866602724289265E-2</v>
      </c>
    </row>
    <row r="202" spans="1:5" x14ac:dyDescent="0.3">
      <c r="A202" s="8">
        <v>45750</v>
      </c>
      <c r="B202" s="9">
        <v>2611.4499999999998</v>
      </c>
      <c r="C202" s="10">
        <v>23250.1</v>
      </c>
      <c r="D202" s="10">
        <f t="shared" si="6"/>
        <v>-9.8955470038484053E-3</v>
      </c>
      <c r="E202" s="10">
        <f t="shared" si="7"/>
        <v>-3.5251485598321647E-3</v>
      </c>
    </row>
    <row r="203" spans="1:5" x14ac:dyDescent="0.3">
      <c r="A203" s="8">
        <v>45749</v>
      </c>
      <c r="B203" s="9">
        <v>2637.55</v>
      </c>
      <c r="C203" s="10">
        <v>23332.35</v>
      </c>
      <c r="D203" s="10">
        <f t="shared" si="6"/>
        <v>-1.3268129951852194E-4</v>
      </c>
      <c r="E203" s="10">
        <f t="shared" si="7"/>
        <v>7.1938253538635921E-3</v>
      </c>
    </row>
    <row r="204" spans="1:5" x14ac:dyDescent="0.3">
      <c r="A204" s="8">
        <v>45748</v>
      </c>
      <c r="B204" s="9">
        <v>2637.9</v>
      </c>
      <c r="C204" s="10">
        <v>23165.7</v>
      </c>
      <c r="D204" s="10">
        <f t="shared" si="6"/>
        <v>-1.046590141796087E-2</v>
      </c>
      <c r="E204" s="10">
        <f t="shared" si="7"/>
        <v>-1.5036555006834706E-2</v>
      </c>
    </row>
    <row r="205" spans="1:5" x14ac:dyDescent="0.3">
      <c r="A205" s="8">
        <v>45744</v>
      </c>
      <c r="B205" s="9">
        <v>2665.8</v>
      </c>
      <c r="C205" s="10">
        <v>23519.35</v>
      </c>
      <c r="D205" s="10">
        <f t="shared" si="6"/>
        <v>-2.458836443468709E-2</v>
      </c>
      <c r="E205" s="10">
        <f t="shared" si="7"/>
        <v>-3.077320865803894E-3</v>
      </c>
    </row>
    <row r="206" spans="1:5" x14ac:dyDescent="0.3">
      <c r="A206" s="8">
        <v>45743</v>
      </c>
      <c r="B206" s="9">
        <v>2733</v>
      </c>
      <c r="C206" s="10">
        <v>23591.95</v>
      </c>
      <c r="D206" s="10">
        <f t="shared" si="6"/>
        <v>-3.3731424924788038E-3</v>
      </c>
      <c r="E206" s="10">
        <f t="shared" si="7"/>
        <v>4.4748444342260539E-3</v>
      </c>
    </row>
    <row r="207" spans="1:5" x14ac:dyDescent="0.3">
      <c r="A207" s="8">
        <v>45742</v>
      </c>
      <c r="B207" s="9">
        <v>2742.25</v>
      </c>
      <c r="C207" s="10">
        <v>23486.85</v>
      </c>
      <c r="D207" s="10">
        <f t="shared" si="6"/>
        <v>2.2843567251461987E-3</v>
      </c>
      <c r="E207" s="10">
        <f t="shared" si="7"/>
        <v>-7.6810464475161409E-3</v>
      </c>
    </row>
    <row r="208" spans="1:5" x14ac:dyDescent="0.3">
      <c r="A208" s="8">
        <v>45741</v>
      </c>
      <c r="B208" s="9">
        <v>2736</v>
      </c>
      <c r="C208" s="10">
        <v>23668.65</v>
      </c>
      <c r="D208" s="10">
        <f t="shared" si="6"/>
        <v>-1.394745377878683E-2</v>
      </c>
      <c r="E208" s="10">
        <f t="shared" si="7"/>
        <v>4.3536425828525282E-4</v>
      </c>
    </row>
    <row r="209" spans="1:5" x14ac:dyDescent="0.3">
      <c r="A209" s="8">
        <v>45740</v>
      </c>
      <c r="B209" s="9">
        <v>2774.7</v>
      </c>
      <c r="C209" s="10">
        <v>23658.35</v>
      </c>
      <c r="D209" s="10">
        <f t="shared" si="6"/>
        <v>-9.6900262326677349E-3</v>
      </c>
      <c r="E209" s="10">
        <f t="shared" si="7"/>
        <v>1.3188210908592447E-2</v>
      </c>
    </row>
    <row r="210" spans="1:5" x14ac:dyDescent="0.3">
      <c r="A210" s="8">
        <v>45737</v>
      </c>
      <c r="B210" s="9">
        <v>2801.85</v>
      </c>
      <c r="C210" s="10">
        <v>23350.400000000001</v>
      </c>
      <c r="D210" s="10">
        <f t="shared" si="6"/>
        <v>-9.2818500053039148E-3</v>
      </c>
      <c r="E210" s="10">
        <f t="shared" si="7"/>
        <v>6.8885520673202345E-3</v>
      </c>
    </row>
    <row r="211" spans="1:5" x14ac:dyDescent="0.3">
      <c r="A211" s="8">
        <v>45736</v>
      </c>
      <c r="B211" s="9">
        <v>2828.1</v>
      </c>
      <c r="C211" s="10">
        <v>23190.65</v>
      </c>
      <c r="D211" s="10">
        <f t="shared" si="6"/>
        <v>1.3983005270517372E-2</v>
      </c>
      <c r="E211" s="10">
        <f t="shared" si="7"/>
        <v>1.23561612739878E-2</v>
      </c>
    </row>
    <row r="212" spans="1:5" x14ac:dyDescent="0.3">
      <c r="A212" s="8">
        <v>45735</v>
      </c>
      <c r="B212" s="9">
        <v>2789.1</v>
      </c>
      <c r="C212" s="10">
        <v>22907.599999999999</v>
      </c>
      <c r="D212" s="10">
        <f t="shared" si="6"/>
        <v>-8.2395930357533206E-4</v>
      </c>
      <c r="E212" s="10">
        <f t="shared" si="7"/>
        <v>3.2100830767748203E-3</v>
      </c>
    </row>
    <row r="213" spans="1:5" x14ac:dyDescent="0.3">
      <c r="A213" s="8">
        <v>45734</v>
      </c>
      <c r="B213" s="9">
        <v>2791.4</v>
      </c>
      <c r="C213" s="10">
        <v>22834.3</v>
      </c>
      <c r="D213" s="10">
        <f t="shared" si="6"/>
        <v>3.1883629373602201E-2</v>
      </c>
      <c r="E213" s="10">
        <f t="shared" si="7"/>
        <v>1.4463264286110925E-2</v>
      </c>
    </row>
    <row r="214" spans="1:5" x14ac:dyDescent="0.3">
      <c r="A214" s="8">
        <v>45733</v>
      </c>
      <c r="B214" s="9">
        <v>2705.15</v>
      </c>
      <c r="C214" s="10">
        <v>22508.75</v>
      </c>
      <c r="D214" s="10">
        <f t="shared" si="6"/>
        <v>2.3321354265178774E-2</v>
      </c>
      <c r="E214" s="10">
        <f t="shared" si="7"/>
        <v>4.9805332809458001E-3</v>
      </c>
    </row>
    <row r="215" spans="1:5" x14ac:dyDescent="0.3">
      <c r="A215" s="8">
        <v>45729</v>
      </c>
      <c r="B215" s="9">
        <v>2643.5</v>
      </c>
      <c r="C215" s="10">
        <v>22397.200000000001</v>
      </c>
      <c r="D215" s="10">
        <f t="shared" si="6"/>
        <v>-3.6935137376098372E-3</v>
      </c>
      <c r="E215" s="10">
        <f t="shared" si="7"/>
        <v>-3.262054693932012E-3</v>
      </c>
    </row>
    <row r="216" spans="1:5" x14ac:dyDescent="0.3">
      <c r="A216" s="8">
        <v>45728</v>
      </c>
      <c r="B216" s="9">
        <v>2653.3</v>
      </c>
      <c r="C216" s="10">
        <v>22470.5</v>
      </c>
      <c r="D216" s="10">
        <f t="shared" si="6"/>
        <v>2.9104928938616091E-3</v>
      </c>
      <c r="E216" s="10">
        <f t="shared" si="7"/>
        <v>-1.2178914476462894E-3</v>
      </c>
    </row>
    <row r="217" spans="1:5" x14ac:dyDescent="0.3">
      <c r="A217" s="8">
        <v>45727</v>
      </c>
      <c r="B217" s="9">
        <v>2645.6</v>
      </c>
      <c r="C217" s="10">
        <v>22497.9</v>
      </c>
      <c r="D217" s="10">
        <f t="shared" si="6"/>
        <v>-2.1090801450455117E-2</v>
      </c>
      <c r="E217" s="10">
        <f t="shared" si="7"/>
        <v>1.6740649056335927E-3</v>
      </c>
    </row>
    <row r="218" spans="1:5" x14ac:dyDescent="0.3">
      <c r="A218" s="8">
        <v>45726</v>
      </c>
      <c r="B218" s="9">
        <v>2702.6</v>
      </c>
      <c r="C218" s="10">
        <v>22460.3</v>
      </c>
      <c r="D218" s="10">
        <f t="shared" si="6"/>
        <v>-9.2563740674890486E-3</v>
      </c>
      <c r="E218" s="10">
        <f t="shared" si="7"/>
        <v>-4.0882385544840144E-3</v>
      </c>
    </row>
    <row r="219" spans="1:5" x14ac:dyDescent="0.3">
      <c r="A219" s="8">
        <v>45723</v>
      </c>
      <c r="B219" s="9">
        <v>2727.85</v>
      </c>
      <c r="C219" s="10">
        <v>22552.5</v>
      </c>
      <c r="D219" s="10">
        <f t="shared" si="6"/>
        <v>-5.3055717619603926E-3</v>
      </c>
      <c r="E219" s="10">
        <f t="shared" si="7"/>
        <v>3.4597932108208459E-4</v>
      </c>
    </row>
    <row r="220" spans="1:5" x14ac:dyDescent="0.3">
      <c r="A220" s="8">
        <v>45722</v>
      </c>
      <c r="B220" s="9">
        <v>2742.4</v>
      </c>
      <c r="C220" s="10">
        <v>22544.7</v>
      </c>
      <c r="D220" s="10">
        <f t="shared" si="6"/>
        <v>5.7947627081347403E-3</v>
      </c>
      <c r="E220" s="10">
        <f t="shared" si="7"/>
        <v>9.2849180518684658E-3</v>
      </c>
    </row>
    <row r="221" spans="1:5" x14ac:dyDescent="0.3">
      <c r="A221" s="8">
        <v>45721</v>
      </c>
      <c r="B221" s="9">
        <v>2726.6</v>
      </c>
      <c r="C221" s="10">
        <v>22337.3</v>
      </c>
      <c r="D221" s="10">
        <f t="shared" si="6"/>
        <v>4.3335182811334111E-2</v>
      </c>
      <c r="E221" s="10">
        <f t="shared" si="7"/>
        <v>1.1531677583985519E-2</v>
      </c>
    </row>
    <row r="222" spans="1:5" x14ac:dyDescent="0.3">
      <c r="A222" s="8">
        <v>45720</v>
      </c>
      <c r="B222" s="9">
        <v>2613.35</v>
      </c>
      <c r="C222" s="10">
        <v>22082.65</v>
      </c>
      <c r="D222" s="10">
        <f t="shared" si="6"/>
        <v>5.5515142233616066E-4</v>
      </c>
      <c r="E222" s="10">
        <f t="shared" si="7"/>
        <v>-1.656924043708337E-3</v>
      </c>
    </row>
    <row r="223" spans="1:5" x14ac:dyDescent="0.3">
      <c r="A223" s="8">
        <v>45719</v>
      </c>
      <c r="B223" s="9">
        <v>2611.9</v>
      </c>
      <c r="C223" s="10">
        <v>22119.3</v>
      </c>
      <c r="D223" s="10">
        <f t="shared" si="6"/>
        <v>1.0367103787087611E-2</v>
      </c>
      <c r="E223" s="10">
        <f t="shared" si="7"/>
        <v>-2.4407110604896133E-4</v>
      </c>
    </row>
    <row r="224" spans="1:5" x14ac:dyDescent="0.3">
      <c r="A224" s="8">
        <v>45716</v>
      </c>
      <c r="B224" s="9">
        <v>2585.1</v>
      </c>
      <c r="C224" s="10">
        <v>22124.7</v>
      </c>
      <c r="D224" s="10">
        <f t="shared" si="6"/>
        <v>-5.1878747868185165E-2</v>
      </c>
      <c r="E224" s="10">
        <f t="shared" si="7"/>
        <v>-1.8644891007116797E-2</v>
      </c>
    </row>
    <row r="225" spans="1:5" x14ac:dyDescent="0.3">
      <c r="A225" s="8">
        <v>45715</v>
      </c>
      <c r="B225" s="9">
        <v>2726.55</v>
      </c>
      <c r="C225" s="10">
        <v>22545.05</v>
      </c>
      <c r="D225" s="10">
        <f t="shared" si="6"/>
        <v>-1.8467519844483946E-2</v>
      </c>
      <c r="E225" s="10">
        <f t="shared" si="7"/>
        <v>-1.1087679149175853E-4</v>
      </c>
    </row>
    <row r="226" spans="1:5" x14ac:dyDescent="0.3">
      <c r="A226" s="8">
        <v>45713</v>
      </c>
      <c r="B226" s="9">
        <v>2777.85</v>
      </c>
      <c r="C226" s="10">
        <v>22547.55</v>
      </c>
      <c r="D226" s="10">
        <f t="shared" si="6"/>
        <v>2.5339583640927248E-2</v>
      </c>
      <c r="E226" s="10">
        <f t="shared" si="7"/>
        <v>-2.571680038663557E-4</v>
      </c>
    </row>
    <row r="227" spans="1:5" x14ac:dyDescent="0.3">
      <c r="A227" s="8">
        <v>45712</v>
      </c>
      <c r="B227" s="9">
        <v>2709.2</v>
      </c>
      <c r="C227" s="10">
        <v>22553.35</v>
      </c>
      <c r="D227" s="10">
        <f t="shared" si="6"/>
        <v>1.4928727967482687E-2</v>
      </c>
      <c r="E227" s="10">
        <f t="shared" si="7"/>
        <v>-1.0640071240881163E-2</v>
      </c>
    </row>
    <row r="228" spans="1:5" x14ac:dyDescent="0.3">
      <c r="A228" s="8">
        <v>45709</v>
      </c>
      <c r="B228" s="9">
        <v>2669.35</v>
      </c>
      <c r="C228" s="10">
        <v>22795.9</v>
      </c>
      <c r="D228" s="10">
        <f t="shared" si="6"/>
        <v>-5.9905967705013267E-2</v>
      </c>
      <c r="E228" s="10">
        <f t="shared" si="7"/>
        <v>-5.1171488861199788E-3</v>
      </c>
    </row>
    <row r="229" spans="1:5" x14ac:dyDescent="0.3">
      <c r="A229" s="8">
        <v>45708</v>
      </c>
      <c r="B229" s="9">
        <v>2839.45</v>
      </c>
      <c r="C229" s="10">
        <v>22913.15</v>
      </c>
      <c r="D229" s="10">
        <f t="shared" si="6"/>
        <v>2.9756292159280381E-2</v>
      </c>
      <c r="E229" s="10">
        <f t="shared" si="7"/>
        <v>-8.6120813329321623E-4</v>
      </c>
    </row>
    <row r="230" spans="1:5" x14ac:dyDescent="0.3">
      <c r="A230" s="8">
        <v>45707</v>
      </c>
      <c r="B230" s="9">
        <v>2757.4</v>
      </c>
      <c r="C230" s="10">
        <v>22932.9</v>
      </c>
      <c r="D230" s="10">
        <f t="shared" si="6"/>
        <v>-1.1702299241949101E-2</v>
      </c>
      <c r="E230" s="10">
        <f t="shared" si="7"/>
        <v>-5.4041568425768321E-4</v>
      </c>
    </row>
    <row r="231" spans="1:5" x14ac:dyDescent="0.3">
      <c r="A231" s="8">
        <v>45706</v>
      </c>
      <c r="B231" s="9">
        <v>2790.05</v>
      </c>
      <c r="C231" s="10">
        <v>22945.3</v>
      </c>
      <c r="D231" s="10">
        <f t="shared" si="6"/>
        <v>-1.4795458959374156E-2</v>
      </c>
      <c r="E231" s="10">
        <f t="shared" si="7"/>
        <v>-6.184803676038558E-4</v>
      </c>
    </row>
    <row r="232" spans="1:5" x14ac:dyDescent="0.3">
      <c r="A232" s="8">
        <v>45705</v>
      </c>
      <c r="B232" s="9">
        <v>2831.95</v>
      </c>
      <c r="C232" s="10">
        <v>22959.5</v>
      </c>
      <c r="D232" s="10">
        <f t="shared" si="6"/>
        <v>-3.7602800244681607E-2</v>
      </c>
      <c r="E232" s="10">
        <f t="shared" si="7"/>
        <v>1.3192755977626831E-3</v>
      </c>
    </row>
    <row r="233" spans="1:5" x14ac:dyDescent="0.3">
      <c r="A233" s="8">
        <v>45702</v>
      </c>
      <c r="B233" s="9">
        <v>2942.6</v>
      </c>
      <c r="C233" s="10">
        <v>22929.25</v>
      </c>
      <c r="D233" s="10">
        <f t="shared" si="6"/>
        <v>-1.1887172599059801E-2</v>
      </c>
      <c r="E233" s="10">
        <f t="shared" si="7"/>
        <v>-4.4352492683901734E-3</v>
      </c>
    </row>
    <row r="234" spans="1:5" x14ac:dyDescent="0.3">
      <c r="A234" s="8">
        <v>45701</v>
      </c>
      <c r="B234" s="9">
        <v>2978</v>
      </c>
      <c r="C234" s="10">
        <v>23031.4</v>
      </c>
      <c r="D234" s="10">
        <f t="shared" si="6"/>
        <v>-3.0798071772897089E-3</v>
      </c>
      <c r="E234" s="10">
        <f t="shared" si="7"/>
        <v>-6.0099152753814971E-4</v>
      </c>
    </row>
    <row r="235" spans="1:5" x14ac:dyDescent="0.3">
      <c r="A235" s="8">
        <v>45700</v>
      </c>
      <c r="B235" s="9">
        <v>2987.2</v>
      </c>
      <c r="C235" s="10">
        <v>23045.25</v>
      </c>
      <c r="D235" s="10">
        <f t="shared" si="6"/>
        <v>-3.1999870380271876E-2</v>
      </c>
      <c r="E235" s="10">
        <f t="shared" si="7"/>
        <v>-1.1507554677138009E-3</v>
      </c>
    </row>
    <row r="236" spans="1:5" x14ac:dyDescent="0.3">
      <c r="A236" s="8">
        <v>45699</v>
      </c>
      <c r="B236" s="9">
        <v>3085.95</v>
      </c>
      <c r="C236" s="10">
        <v>23071.8</v>
      </c>
      <c r="D236" s="10">
        <f t="shared" si="6"/>
        <v>-1.6351900549844665E-2</v>
      </c>
      <c r="E236" s="10">
        <f t="shared" si="7"/>
        <v>-1.3249734834228593E-2</v>
      </c>
    </row>
    <row r="237" spans="1:5" x14ac:dyDescent="0.3">
      <c r="A237" s="8">
        <v>45698</v>
      </c>
      <c r="B237" s="9">
        <v>3137.25</v>
      </c>
      <c r="C237" s="10">
        <v>23381.599999999999</v>
      </c>
      <c r="D237" s="10">
        <f t="shared" si="6"/>
        <v>-1.9134268161140496E-2</v>
      </c>
      <c r="E237" s="10">
        <f t="shared" si="7"/>
        <v>-7.5700500213286602E-3</v>
      </c>
    </row>
    <row r="238" spans="1:5" x14ac:dyDescent="0.3">
      <c r="A238" s="8">
        <v>45695</v>
      </c>
      <c r="B238" s="9">
        <v>3198.45</v>
      </c>
      <c r="C238" s="10">
        <v>23559.95</v>
      </c>
      <c r="D238" s="10">
        <f t="shared" si="6"/>
        <v>1.8630869918310804E-2</v>
      </c>
      <c r="E238" s="10">
        <f t="shared" si="7"/>
        <v>-1.8387220458112013E-3</v>
      </c>
    </row>
    <row r="239" spans="1:5" x14ac:dyDescent="0.3">
      <c r="A239" s="8">
        <v>45694</v>
      </c>
      <c r="B239" s="9">
        <v>3139.95</v>
      </c>
      <c r="C239" s="10">
        <v>23603.35</v>
      </c>
      <c r="D239" s="10">
        <f t="shared" si="6"/>
        <v>-1.2206055839559632E-2</v>
      </c>
      <c r="E239" s="10">
        <f t="shared" si="7"/>
        <v>-3.9225533100104544E-3</v>
      </c>
    </row>
    <row r="240" spans="1:5" x14ac:dyDescent="0.3">
      <c r="A240" s="8">
        <v>45693</v>
      </c>
      <c r="B240" s="9">
        <v>3178.75</v>
      </c>
      <c r="C240" s="10">
        <v>23696.3</v>
      </c>
      <c r="D240" s="10">
        <f t="shared" si="6"/>
        <v>-3.2298019786457352E-3</v>
      </c>
      <c r="E240" s="10">
        <f t="shared" si="7"/>
        <v>-1.8092399717767296E-3</v>
      </c>
    </row>
    <row r="241" spans="1:5" x14ac:dyDescent="0.3">
      <c r="A241" s="8">
        <v>45692</v>
      </c>
      <c r="B241" s="9">
        <v>3189.05</v>
      </c>
      <c r="C241" s="10">
        <v>23739.25</v>
      </c>
      <c r="D241" s="10">
        <f t="shared" si="6"/>
        <v>4.9632874294898051E-3</v>
      </c>
      <c r="E241" s="10">
        <f t="shared" si="7"/>
        <v>1.6189340804458736E-2</v>
      </c>
    </row>
    <row r="242" spans="1:5" x14ac:dyDescent="0.3">
      <c r="A242" s="8">
        <v>45691</v>
      </c>
      <c r="B242" s="9">
        <v>3173.3</v>
      </c>
      <c r="C242" s="10">
        <v>23361.05</v>
      </c>
      <c r="D242" s="10">
        <f t="shared" si="6"/>
        <v>3.1380515153977467E-2</v>
      </c>
      <c r="E242" s="10">
        <f t="shared" si="7"/>
        <v>-5.1571086974575228E-3</v>
      </c>
    </row>
    <row r="243" spans="1:5" x14ac:dyDescent="0.3">
      <c r="A243" s="8">
        <v>45689</v>
      </c>
      <c r="B243" s="9">
        <v>3076.75</v>
      </c>
      <c r="C243" s="10">
        <v>23482.15</v>
      </c>
      <c r="D243" s="10">
        <f t="shared" si="6"/>
        <v>2.9065003261033194E-2</v>
      </c>
      <c r="E243" s="10">
        <f t="shared" si="7"/>
        <v>-1.1166221435742116E-3</v>
      </c>
    </row>
    <row r="244" spans="1:5" x14ac:dyDescent="0.3">
      <c r="A244" s="8">
        <v>45688</v>
      </c>
      <c r="B244" s="9">
        <v>2989.85</v>
      </c>
      <c r="C244" s="10">
        <v>23508.400000000001</v>
      </c>
      <c r="D244" s="10">
        <f t="shared" si="6"/>
        <v>6.1922630365646714E-3</v>
      </c>
      <c r="E244" s="10">
        <f t="shared" si="7"/>
        <v>1.1135723348889286E-2</v>
      </c>
    </row>
    <row r="245" spans="1:5" x14ac:dyDescent="0.3">
      <c r="A245" s="8">
        <v>45687</v>
      </c>
      <c r="B245" s="9">
        <v>2971.45</v>
      </c>
      <c r="C245" s="10">
        <v>23249.5</v>
      </c>
      <c r="D245" s="10">
        <f t="shared" si="6"/>
        <v>1.6106143245507517E-2</v>
      </c>
      <c r="E245" s="10">
        <f t="shared" si="7"/>
        <v>3.7300706727511198E-3</v>
      </c>
    </row>
    <row r="246" spans="1:5" x14ac:dyDescent="0.3">
      <c r="A246" s="8">
        <v>45686</v>
      </c>
      <c r="B246" s="9">
        <v>2924.35</v>
      </c>
      <c r="C246" s="10">
        <v>23163.1</v>
      </c>
      <c r="D246" s="10">
        <f t="shared" si="6"/>
        <v>1.8724308506932349E-2</v>
      </c>
      <c r="E246" s="10">
        <f t="shared" si="7"/>
        <v>8.9666663036730675E-3</v>
      </c>
    </row>
    <row r="247" spans="1:5" x14ac:dyDescent="0.3">
      <c r="A247" s="8">
        <v>45685</v>
      </c>
      <c r="B247" s="9">
        <v>2870.6</v>
      </c>
      <c r="C247" s="10">
        <v>22957.25</v>
      </c>
      <c r="D247" s="10">
        <f t="shared" si="6"/>
        <v>1.3773131798276593E-2</v>
      </c>
      <c r="E247" s="10">
        <f t="shared" si="7"/>
        <v>5.6112470240897508E-3</v>
      </c>
    </row>
    <row r="248" spans="1:5" x14ac:dyDescent="0.3">
      <c r="A248" s="8">
        <v>45684</v>
      </c>
      <c r="B248" s="9">
        <v>2831.6</v>
      </c>
      <c r="C248" s="10">
        <v>22829.15</v>
      </c>
      <c r="D248" s="10"/>
      <c r="E248" s="10"/>
    </row>
    <row r="249" spans="1:5" x14ac:dyDescent="0.3">
      <c r="D24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D26A-D684-42DB-B5C6-AED7534E4408}">
  <sheetPr>
    <tabColor rgb="FF00B0F0"/>
  </sheetPr>
  <dimension ref="A1:N27"/>
  <sheetViews>
    <sheetView workbookViewId="0">
      <selection activeCell="G20" sqref="G20"/>
    </sheetView>
  </sheetViews>
  <sheetFormatPr defaultRowHeight="14.4" x14ac:dyDescent="0.3"/>
  <cols>
    <col min="2" max="2" width="10.6640625" bestFit="1" customWidth="1"/>
    <col min="5" max="5" width="9.6640625" bestFit="1" customWidth="1"/>
    <col min="8" max="8" width="11.6640625" bestFit="1" customWidth="1"/>
    <col min="11" max="11" width="13.33203125" bestFit="1" customWidth="1"/>
    <col min="13" max="13" width="5" bestFit="1" customWidth="1"/>
    <col min="14" max="14" width="11.21875" bestFit="1" customWidth="1"/>
  </cols>
  <sheetData>
    <row r="1" spans="1:14" x14ac:dyDescent="0.3">
      <c r="A1" s="11" t="s">
        <v>21</v>
      </c>
      <c r="B1" s="11"/>
      <c r="C1" s="11"/>
      <c r="D1" s="11" t="s">
        <v>20</v>
      </c>
      <c r="E1" s="11"/>
      <c r="F1" s="11"/>
      <c r="G1" s="11" t="s">
        <v>22</v>
      </c>
      <c r="H1" s="11"/>
      <c r="I1" s="11"/>
      <c r="J1" s="11" t="s">
        <v>23</v>
      </c>
      <c r="K1" s="11"/>
      <c r="M1" s="12" t="s">
        <v>24</v>
      </c>
      <c r="N1" s="12" t="s">
        <v>25</v>
      </c>
    </row>
    <row r="2" spans="1:14" x14ac:dyDescent="0.3">
      <c r="A2" s="11" t="s">
        <v>16</v>
      </c>
      <c r="B2" s="11">
        <v>55650</v>
      </c>
      <c r="C2" s="11"/>
      <c r="D2" s="11" t="s">
        <v>16</v>
      </c>
      <c r="E2" s="11">
        <v>5000</v>
      </c>
      <c r="F2" s="11"/>
      <c r="G2" s="11" t="s">
        <v>16</v>
      </c>
      <c r="H2" s="11">
        <v>500000</v>
      </c>
      <c r="I2" s="11"/>
      <c r="J2" s="11" t="s">
        <v>16</v>
      </c>
      <c r="K2" s="11">
        <v>800000</v>
      </c>
      <c r="M2" s="12" t="s">
        <v>16</v>
      </c>
      <c r="N2" s="12">
        <f>N7/((1+N3)^N4)</f>
        <v>35421.260553259825</v>
      </c>
    </row>
    <row r="3" spans="1:14" x14ac:dyDescent="0.3">
      <c r="A3" s="11" t="s">
        <v>17</v>
      </c>
      <c r="B3" s="11">
        <v>0.15</v>
      </c>
      <c r="C3" s="11"/>
      <c r="D3" s="11" t="s">
        <v>17</v>
      </c>
      <c r="E3" s="11">
        <v>0.06</v>
      </c>
      <c r="F3" s="11"/>
      <c r="G3" s="11" t="s">
        <v>17</v>
      </c>
      <c r="H3" s="11">
        <v>0.12</v>
      </c>
      <c r="I3" s="11"/>
      <c r="J3" s="11" t="s">
        <v>17</v>
      </c>
      <c r="K3" s="11">
        <v>0.1</v>
      </c>
      <c r="M3" s="12" t="s">
        <v>17</v>
      </c>
      <c r="N3" s="12">
        <v>0.09</v>
      </c>
    </row>
    <row r="4" spans="1:14" x14ac:dyDescent="0.3">
      <c r="A4" s="11" t="s">
        <v>18</v>
      </c>
      <c r="B4" s="11">
        <v>3</v>
      </c>
      <c r="C4" s="11"/>
      <c r="D4" s="11" t="s">
        <v>18</v>
      </c>
      <c r="E4" s="11">
        <v>4</v>
      </c>
      <c r="F4" s="11"/>
      <c r="G4" s="11" t="s">
        <v>18</v>
      </c>
      <c r="H4" s="11">
        <v>4</v>
      </c>
      <c r="I4" s="11"/>
      <c r="J4" s="11" t="s">
        <v>18</v>
      </c>
      <c r="K4" s="11">
        <v>6</v>
      </c>
      <c r="M4" s="12" t="s">
        <v>18</v>
      </c>
      <c r="N4" s="12">
        <v>4</v>
      </c>
    </row>
    <row r="5" spans="1:14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M5" s="12"/>
      <c r="N5" s="12"/>
    </row>
    <row r="6" spans="1:14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M6" s="12"/>
      <c r="N6" s="12"/>
    </row>
    <row r="7" spans="1:14" x14ac:dyDescent="0.3">
      <c r="A7" s="11" t="s">
        <v>19</v>
      </c>
      <c r="B7" s="11">
        <f>B2*(1+B3)^3</f>
        <v>84636.693749999977</v>
      </c>
      <c r="C7" s="11"/>
      <c r="D7" s="11" t="s">
        <v>19</v>
      </c>
      <c r="E7" s="11">
        <f>E2*(1+E3)^E4</f>
        <v>6312.3848000000016</v>
      </c>
      <c r="F7" s="11"/>
      <c r="G7" s="11" t="s">
        <v>19</v>
      </c>
      <c r="H7" s="11">
        <f>H2*(1+H3)^H4</f>
        <v>786759.68000000017</v>
      </c>
      <c r="I7" s="11"/>
      <c r="J7" s="11" t="s">
        <v>19</v>
      </c>
      <c r="K7" s="11">
        <f>K2*(1+K3)^K4</f>
        <v>1417248.8000000007</v>
      </c>
      <c r="M7" s="12" t="s">
        <v>19</v>
      </c>
      <c r="N7" s="12">
        <v>50000</v>
      </c>
    </row>
    <row r="8" spans="1:14" x14ac:dyDescent="0.3">
      <c r="A8" s="11"/>
      <c r="B8" s="13">
        <f>FV(B3,B4,0,-B2,0)</f>
        <v>84636.693749999977</v>
      </c>
      <c r="C8" s="11"/>
      <c r="D8" s="11"/>
      <c r="E8" s="13">
        <f>FV(E3,E4,0,-E2,0)</f>
        <v>6312.3848000000016</v>
      </c>
      <c r="F8" s="11"/>
      <c r="G8" s="11"/>
      <c r="H8" s="13">
        <f>FV(H3,H4,0,-H2,0)</f>
        <v>786759.68000000017</v>
      </c>
      <c r="I8" s="11"/>
      <c r="J8" s="11"/>
      <c r="K8" s="13">
        <f>FV(K3,K4,0,-K2,0)</f>
        <v>1417248.8000000007</v>
      </c>
    </row>
    <row r="9" spans="1:14" x14ac:dyDescent="0.3">
      <c r="A9" s="34" t="s">
        <v>26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2" spans="1:14" x14ac:dyDescent="0.3">
      <c r="A12" s="11" t="s">
        <v>27</v>
      </c>
      <c r="B12" s="11" t="s">
        <v>28</v>
      </c>
      <c r="D12" s="11" t="s">
        <v>27</v>
      </c>
      <c r="E12" s="11" t="s">
        <v>29</v>
      </c>
      <c r="G12" s="11" t="s">
        <v>27</v>
      </c>
      <c r="H12" s="11" t="s">
        <v>30</v>
      </c>
      <c r="J12" s="11" t="s">
        <v>27</v>
      </c>
      <c r="K12" s="11" t="s">
        <v>31</v>
      </c>
    </row>
    <row r="13" spans="1:14" x14ac:dyDescent="0.3">
      <c r="A13" s="11" t="s">
        <v>16</v>
      </c>
      <c r="B13" s="11">
        <v>5000</v>
      </c>
      <c r="D13" s="11" t="s">
        <v>16</v>
      </c>
      <c r="E13" s="11">
        <v>10000</v>
      </c>
      <c r="G13" s="11" t="s">
        <v>16</v>
      </c>
      <c r="H13" s="11">
        <v>15000</v>
      </c>
      <c r="J13" s="11" t="s">
        <v>16</v>
      </c>
      <c r="K13" s="11">
        <v>20000</v>
      </c>
    </row>
    <row r="14" spans="1:14" x14ac:dyDescent="0.3">
      <c r="A14" s="11" t="s">
        <v>17</v>
      </c>
      <c r="B14" s="11">
        <v>0.6</v>
      </c>
      <c r="D14" s="11" t="s">
        <v>17</v>
      </c>
      <c r="E14" s="11">
        <v>0.6</v>
      </c>
      <c r="G14" s="11" t="s">
        <v>17</v>
      </c>
      <c r="H14" s="11">
        <v>0.6</v>
      </c>
      <c r="J14" s="11" t="s">
        <v>17</v>
      </c>
      <c r="K14" s="11">
        <v>0.6</v>
      </c>
    </row>
    <row r="15" spans="1:14" x14ac:dyDescent="0.3">
      <c r="A15" s="11" t="s">
        <v>18</v>
      </c>
      <c r="B15" s="11">
        <v>1</v>
      </c>
      <c r="D15" s="11" t="s">
        <v>18</v>
      </c>
      <c r="E15" s="11">
        <v>1</v>
      </c>
      <c r="G15" s="11" t="s">
        <v>18</v>
      </c>
      <c r="H15" s="11">
        <v>1</v>
      </c>
      <c r="J15" s="11" t="s">
        <v>18</v>
      </c>
      <c r="K15" s="11">
        <v>1</v>
      </c>
    </row>
    <row r="16" spans="1:14" x14ac:dyDescent="0.3">
      <c r="A16" s="11"/>
      <c r="B16" s="11"/>
      <c r="D16" s="11"/>
      <c r="E16" s="11"/>
      <c r="G16" s="11"/>
      <c r="H16" s="11"/>
      <c r="J16" s="11"/>
      <c r="K16" s="11"/>
    </row>
    <row r="17" spans="1:11" x14ac:dyDescent="0.3">
      <c r="A17" s="11"/>
      <c r="B17" s="11"/>
      <c r="D17" s="11"/>
      <c r="E17" s="11"/>
      <c r="G17" s="11"/>
      <c r="H17" s="11"/>
      <c r="J17" s="11"/>
      <c r="K17" s="11"/>
    </row>
    <row r="18" spans="1:11" x14ac:dyDescent="0.3">
      <c r="A18" s="11" t="s">
        <v>19</v>
      </c>
      <c r="B18" s="11">
        <f>B13*(1+B14)^B15</f>
        <v>8000</v>
      </c>
      <c r="D18" s="11" t="s">
        <v>19</v>
      </c>
      <c r="E18" s="11">
        <f>E13*(1+E14)^E15</f>
        <v>16000</v>
      </c>
      <c r="G18" s="11" t="s">
        <v>19</v>
      </c>
      <c r="H18" s="11">
        <f>H13*(1+H14)^H15</f>
        <v>24000</v>
      </c>
      <c r="J18" s="11" t="s">
        <v>19</v>
      </c>
      <c r="K18" s="11">
        <f>K13*(1+K14)^K15</f>
        <v>32000</v>
      </c>
    </row>
    <row r="21" spans="1:11" x14ac:dyDescent="0.3">
      <c r="A21" s="11" t="s">
        <v>32</v>
      </c>
      <c r="B21" s="11"/>
      <c r="D21" s="11"/>
      <c r="E21" s="11"/>
    </row>
    <row r="22" spans="1:11" x14ac:dyDescent="0.3">
      <c r="A22" s="11" t="s">
        <v>16</v>
      </c>
      <c r="B22" s="11">
        <v>5000</v>
      </c>
      <c r="D22" s="11"/>
      <c r="E22" s="11"/>
    </row>
    <row r="23" spans="1:11" x14ac:dyDescent="0.3">
      <c r="A23" s="11" t="s">
        <v>17</v>
      </c>
      <c r="B23" s="11">
        <v>0.06</v>
      </c>
      <c r="D23" s="11"/>
      <c r="E23" s="11"/>
    </row>
    <row r="24" spans="1:11" x14ac:dyDescent="0.3">
      <c r="A24" s="11" t="s">
        <v>18</v>
      </c>
      <c r="B24" s="11">
        <v>4</v>
      </c>
      <c r="D24" s="11"/>
      <c r="E24" s="11"/>
    </row>
    <row r="25" spans="1:11" x14ac:dyDescent="0.3">
      <c r="A25" s="11"/>
      <c r="B25" s="11"/>
      <c r="D25" s="11"/>
      <c r="E25" s="11"/>
    </row>
    <row r="26" spans="1:11" x14ac:dyDescent="0.3">
      <c r="A26" s="11"/>
      <c r="B26" s="11"/>
      <c r="D26" s="11"/>
      <c r="E26" s="11"/>
    </row>
    <row r="27" spans="1:11" x14ac:dyDescent="0.3">
      <c r="A27" s="11" t="s">
        <v>19</v>
      </c>
      <c r="B27" s="11">
        <f>B22*(((1+B23)^B24)-1)/B23</f>
        <v>21873.080000000027</v>
      </c>
      <c r="D27" s="11"/>
      <c r="E27" s="11"/>
    </row>
  </sheetData>
  <mergeCells count="1">
    <mergeCell ref="A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9180-4979-4246-9D37-CD1148EB8F5F}">
  <sheetPr>
    <tabColor rgb="FF92D050"/>
  </sheetPr>
  <dimension ref="A1:M31"/>
  <sheetViews>
    <sheetView workbookViewId="0">
      <selection activeCell="O16" sqref="O16"/>
    </sheetView>
  </sheetViews>
  <sheetFormatPr defaultRowHeight="14.4" x14ac:dyDescent="0.3"/>
  <cols>
    <col min="2" max="2" width="17.33203125" customWidth="1"/>
    <col min="3" max="3" width="12.21875" bestFit="1" customWidth="1"/>
    <col min="4" max="4" width="12.6640625" customWidth="1"/>
    <col min="5" max="6" width="12.21875" bestFit="1" customWidth="1"/>
    <col min="8" max="8" width="15.21875" bestFit="1" customWidth="1"/>
    <col min="9" max="9" width="27.88671875" bestFit="1" customWidth="1"/>
    <col min="10" max="10" width="13.88671875" bestFit="1" customWidth="1"/>
    <col min="11" max="11" width="15.109375" bestFit="1" customWidth="1"/>
    <col min="12" max="13" width="15" bestFit="1" customWidth="1"/>
  </cols>
  <sheetData>
    <row r="1" spans="1:13" x14ac:dyDescent="0.3">
      <c r="A1" s="29" t="s">
        <v>33</v>
      </c>
      <c r="B1" s="29"/>
      <c r="C1" s="29"/>
      <c r="D1" s="29"/>
      <c r="E1" s="29"/>
      <c r="F1" s="29"/>
      <c r="I1" s="29" t="s">
        <v>46</v>
      </c>
      <c r="J1" s="29"/>
      <c r="K1" s="29"/>
      <c r="L1" s="29"/>
      <c r="M1" s="29"/>
    </row>
    <row r="3" spans="1:13" ht="43.2" x14ac:dyDescent="0.3">
      <c r="A3" s="21" t="s">
        <v>34</v>
      </c>
      <c r="B3" s="21" t="s">
        <v>36</v>
      </c>
      <c r="C3" s="21" t="s">
        <v>38</v>
      </c>
      <c r="D3" s="22" t="s">
        <v>39</v>
      </c>
      <c r="E3" s="22" t="s">
        <v>40</v>
      </c>
      <c r="F3" s="22" t="s">
        <v>41</v>
      </c>
      <c r="I3" s="33" t="s">
        <v>54</v>
      </c>
      <c r="J3" s="33"/>
      <c r="K3" s="33"/>
      <c r="L3" s="33"/>
      <c r="M3" s="33"/>
    </row>
    <row r="4" spans="1:13" ht="28.8" x14ac:dyDescent="0.3">
      <c r="A4" s="16">
        <v>0</v>
      </c>
      <c r="B4" s="16" t="s">
        <v>37</v>
      </c>
      <c r="C4" s="17">
        <v>400000</v>
      </c>
      <c r="D4" s="17">
        <v>400000</v>
      </c>
      <c r="E4" s="17">
        <v>400000</v>
      </c>
      <c r="F4" s="17">
        <v>400000</v>
      </c>
      <c r="I4" s="27" t="s">
        <v>55</v>
      </c>
      <c r="J4" s="14" t="s">
        <v>38</v>
      </c>
      <c r="K4" s="15" t="s">
        <v>49</v>
      </c>
      <c r="L4" s="15" t="s">
        <v>50</v>
      </c>
      <c r="M4" s="15" t="s">
        <v>51</v>
      </c>
    </row>
    <row r="5" spans="1:13" x14ac:dyDescent="0.3">
      <c r="A5" s="16">
        <v>1</v>
      </c>
      <c r="B5" s="16" t="s">
        <v>35</v>
      </c>
      <c r="C5" s="17">
        <v>10000</v>
      </c>
      <c r="D5" s="17">
        <f>C5/(1+7%)^A5</f>
        <v>9345.7943925233631</v>
      </c>
      <c r="E5" s="17">
        <f>C5/(1+8%)^A5</f>
        <v>9259.2592592592591</v>
      </c>
      <c r="F5" s="17">
        <f>C5/(1+9%)^A5</f>
        <v>9174.3119266055037</v>
      </c>
      <c r="I5" s="16" t="s">
        <v>37</v>
      </c>
      <c r="J5" s="24">
        <v>2000000</v>
      </c>
      <c r="K5" s="24">
        <v>2000000</v>
      </c>
      <c r="L5" s="24">
        <v>2000000</v>
      </c>
      <c r="M5" s="24">
        <v>2000000</v>
      </c>
    </row>
    <row r="6" spans="1:13" x14ac:dyDescent="0.3">
      <c r="A6" s="16">
        <v>2</v>
      </c>
      <c r="B6" s="16" t="s">
        <v>35</v>
      </c>
      <c r="C6" s="17">
        <v>10000</v>
      </c>
      <c r="D6" s="17">
        <f t="shared" ref="D6:D14" si="0">C6/(1+7%)^A6</f>
        <v>8734.3872827321156</v>
      </c>
      <c r="E6" s="17">
        <f t="shared" ref="E6:E14" si="1">C6/(1+8%)^A6</f>
        <v>8573.388203017832</v>
      </c>
      <c r="F6" s="17">
        <f t="shared" ref="F6:F14" si="2">C6/(1+9%)^A6</f>
        <v>8416.799932665599</v>
      </c>
      <c r="I6" s="16" t="s">
        <v>48</v>
      </c>
      <c r="J6" s="24">
        <v>25000</v>
      </c>
      <c r="K6" s="24">
        <f>J6/(7%-5%)</f>
        <v>1249999.9999999998</v>
      </c>
      <c r="L6" s="24">
        <f>J6/(8%-5%)</f>
        <v>833333.33333333337</v>
      </c>
      <c r="M6" s="24">
        <f>J6/(9%-5%)</f>
        <v>625000.00000000012</v>
      </c>
    </row>
    <row r="7" spans="1:13" x14ac:dyDescent="0.3">
      <c r="A7" s="16">
        <v>3</v>
      </c>
      <c r="B7" s="16" t="s">
        <v>35</v>
      </c>
      <c r="C7" s="17">
        <v>10000</v>
      </c>
      <c r="D7" s="17">
        <f t="shared" si="0"/>
        <v>8162.9787689085197</v>
      </c>
      <c r="E7" s="17">
        <f t="shared" si="1"/>
        <v>7938.3224102016957</v>
      </c>
      <c r="F7" s="17">
        <f t="shared" si="2"/>
        <v>7721.8348006106417</v>
      </c>
      <c r="I7" s="14" t="s">
        <v>47</v>
      </c>
      <c r="J7" s="26">
        <v>0.05</v>
      </c>
      <c r="K7" s="25">
        <f>SUM(K5:K6)</f>
        <v>3250000</v>
      </c>
      <c r="L7" s="25">
        <f>SUM(L5:L6)</f>
        <v>2833333.3333333335</v>
      </c>
      <c r="M7" s="25">
        <f>SUM(M5:M6)</f>
        <v>2625000</v>
      </c>
    </row>
    <row r="8" spans="1:13" x14ac:dyDescent="0.3">
      <c r="A8" s="16">
        <v>4</v>
      </c>
      <c r="B8" s="16" t="s">
        <v>35</v>
      </c>
      <c r="C8" s="17">
        <v>10000</v>
      </c>
      <c r="D8" s="17">
        <f t="shared" si="0"/>
        <v>7628.9521204752518</v>
      </c>
      <c r="E8" s="17">
        <f t="shared" si="1"/>
        <v>7350.2985279645327</v>
      </c>
      <c r="F8" s="17">
        <f t="shared" si="2"/>
        <v>7084.2521106519644</v>
      </c>
    </row>
    <row r="9" spans="1:13" x14ac:dyDescent="0.3">
      <c r="A9" s="16">
        <v>5</v>
      </c>
      <c r="B9" s="16" t="s">
        <v>35</v>
      </c>
      <c r="C9" s="17">
        <v>10000</v>
      </c>
      <c r="D9" s="17">
        <f t="shared" si="0"/>
        <v>7129.8617948366837</v>
      </c>
      <c r="E9" s="17">
        <f t="shared" si="1"/>
        <v>6805.83197033753</v>
      </c>
      <c r="F9" s="17">
        <f t="shared" si="2"/>
        <v>6499.313862983453</v>
      </c>
      <c r="I9" s="29" t="s">
        <v>52</v>
      </c>
      <c r="J9" s="29"/>
      <c r="K9" s="29"/>
      <c r="L9" s="29"/>
      <c r="M9" s="29"/>
    </row>
    <row r="10" spans="1:13" x14ac:dyDescent="0.3">
      <c r="A10" s="16">
        <v>6</v>
      </c>
      <c r="B10" s="16" t="s">
        <v>35</v>
      </c>
      <c r="C10" s="17">
        <v>10000</v>
      </c>
      <c r="D10" s="17">
        <f t="shared" si="0"/>
        <v>6663.4222381651252</v>
      </c>
      <c r="E10" s="17">
        <f t="shared" si="1"/>
        <v>6301.6962688310459</v>
      </c>
      <c r="F10" s="17">
        <f t="shared" si="2"/>
        <v>5962.6732687921585</v>
      </c>
    </row>
    <row r="11" spans="1:13" ht="28.8" x14ac:dyDescent="0.3">
      <c r="A11" s="16">
        <v>7</v>
      </c>
      <c r="B11" s="16" t="s">
        <v>35</v>
      </c>
      <c r="C11" s="17">
        <v>10000</v>
      </c>
      <c r="D11" s="17">
        <f t="shared" si="0"/>
        <v>6227.4974188459109</v>
      </c>
      <c r="E11" s="17">
        <f t="shared" si="1"/>
        <v>5834.9039526213382</v>
      </c>
      <c r="F11" s="17">
        <f t="shared" si="2"/>
        <v>5470.3424484331726</v>
      </c>
      <c r="H11" s="15" t="s">
        <v>56</v>
      </c>
      <c r="I11" s="27" t="s">
        <v>55</v>
      </c>
      <c r="J11" s="14" t="s">
        <v>38</v>
      </c>
      <c r="K11" s="15" t="s">
        <v>49</v>
      </c>
      <c r="L11" s="15" t="s">
        <v>50</v>
      </c>
      <c r="M11" s="15" t="s">
        <v>51</v>
      </c>
    </row>
    <row r="12" spans="1:13" x14ac:dyDescent="0.3">
      <c r="A12" s="16">
        <v>8</v>
      </c>
      <c r="B12" s="16" t="s">
        <v>35</v>
      </c>
      <c r="C12" s="17">
        <v>10000</v>
      </c>
      <c r="D12" s="17">
        <f t="shared" si="0"/>
        <v>5820.0910456503843</v>
      </c>
      <c r="E12" s="17">
        <f t="shared" si="1"/>
        <v>5402.6888450197575</v>
      </c>
      <c r="F12" s="17">
        <f t="shared" si="2"/>
        <v>5018.6627967276809</v>
      </c>
      <c r="H12" s="16"/>
      <c r="I12" s="16" t="s">
        <v>37</v>
      </c>
      <c r="J12" s="16"/>
      <c r="K12" s="16"/>
      <c r="L12" s="16"/>
      <c r="M12" s="16"/>
    </row>
    <row r="13" spans="1:13" ht="28.8" x14ac:dyDescent="0.3">
      <c r="A13" s="16">
        <v>9</v>
      </c>
      <c r="B13" s="16" t="s">
        <v>35</v>
      </c>
      <c r="C13" s="17">
        <v>10000</v>
      </c>
      <c r="D13" s="17">
        <f t="shared" si="0"/>
        <v>5439.3374258414797</v>
      </c>
      <c r="E13" s="17">
        <f t="shared" si="1"/>
        <v>5002.4896713145899</v>
      </c>
      <c r="F13" s="17">
        <f t="shared" si="2"/>
        <v>4604.2777951630096</v>
      </c>
      <c r="H13" s="28" t="s">
        <v>57</v>
      </c>
      <c r="I13" s="16" t="s">
        <v>53</v>
      </c>
      <c r="J13" s="17">
        <v>200000</v>
      </c>
      <c r="K13" s="17">
        <f>J13/(7%-1%)</f>
        <v>3333333.333333333</v>
      </c>
      <c r="L13" s="17">
        <f>J13/(8%-1%)</f>
        <v>2857142.8571428568</v>
      </c>
      <c r="M13" s="17">
        <f>J13/(9%-1%)</f>
        <v>2500000</v>
      </c>
    </row>
    <row r="14" spans="1:13" x14ac:dyDescent="0.3">
      <c r="A14" s="16">
        <v>10</v>
      </c>
      <c r="B14" s="16" t="s">
        <v>35</v>
      </c>
      <c r="C14" s="17">
        <v>10000</v>
      </c>
      <c r="D14" s="17">
        <f t="shared" si="0"/>
        <v>5083.4929213471778</v>
      </c>
      <c r="E14" s="17">
        <f t="shared" si="1"/>
        <v>4631.9348808468421</v>
      </c>
      <c r="F14" s="17">
        <f t="shared" si="2"/>
        <v>4224.1080689568889</v>
      </c>
      <c r="H14" s="14"/>
      <c r="I14" s="14" t="s">
        <v>47</v>
      </c>
      <c r="J14" s="23">
        <v>0.01</v>
      </c>
      <c r="K14" s="19"/>
      <c r="L14" s="19"/>
      <c r="M14" s="19"/>
    </row>
    <row r="15" spans="1:13" x14ac:dyDescent="0.3">
      <c r="A15" s="31" t="s">
        <v>42</v>
      </c>
      <c r="B15" s="32"/>
      <c r="C15" s="18">
        <f>SUM(C4:C14)</f>
        <v>500000</v>
      </c>
      <c r="D15" s="19">
        <f>SUM(D4:D14)</f>
        <v>470235.81540932599</v>
      </c>
      <c r="E15" s="19">
        <f>SUM(E4:E14)</f>
        <v>467100.81398941437</v>
      </c>
      <c r="F15" s="19">
        <f>SUM(F4:F14)</f>
        <v>464176.57701159007</v>
      </c>
    </row>
    <row r="17" spans="1:6" x14ac:dyDescent="0.3">
      <c r="A17" s="29" t="s">
        <v>45</v>
      </c>
      <c r="B17" s="29"/>
      <c r="C17" s="29"/>
      <c r="D17" s="29"/>
      <c r="E17" s="29"/>
      <c r="F17" s="29"/>
    </row>
    <row r="19" spans="1:6" ht="43.2" x14ac:dyDescent="0.3">
      <c r="A19" s="14" t="s">
        <v>34</v>
      </c>
      <c r="B19" s="14" t="s">
        <v>36</v>
      </c>
      <c r="C19" s="14" t="s">
        <v>38</v>
      </c>
      <c r="D19" s="15" t="s">
        <v>39</v>
      </c>
      <c r="E19" s="15" t="s">
        <v>40</v>
      </c>
      <c r="F19" s="15" t="s">
        <v>41</v>
      </c>
    </row>
    <row r="20" spans="1:6" x14ac:dyDescent="0.3">
      <c r="A20" s="16">
        <v>0</v>
      </c>
      <c r="B20" s="16" t="s">
        <v>43</v>
      </c>
      <c r="C20" s="20" t="s">
        <v>44</v>
      </c>
      <c r="D20" s="16"/>
      <c r="E20" s="16"/>
      <c r="F20" s="16"/>
    </row>
    <row r="21" spans="1:6" x14ac:dyDescent="0.3">
      <c r="A21" s="16">
        <v>1</v>
      </c>
      <c r="B21" s="16" t="s">
        <v>43</v>
      </c>
      <c r="C21" s="20">
        <v>70000</v>
      </c>
      <c r="D21" s="17">
        <f>C21/(1+7%)^A21</f>
        <v>65420.560747663549</v>
      </c>
      <c r="E21" s="17">
        <f>C21/(1+8%)^A21</f>
        <v>64814.81481481481</v>
      </c>
      <c r="F21" s="17">
        <f>C21/(1+9%)^A21</f>
        <v>64220.183486238529</v>
      </c>
    </row>
    <row r="22" spans="1:6" x14ac:dyDescent="0.3">
      <c r="A22" s="16">
        <v>2</v>
      </c>
      <c r="B22" s="16" t="s">
        <v>43</v>
      </c>
      <c r="C22" s="20">
        <v>70000</v>
      </c>
      <c r="D22" s="17">
        <f t="shared" ref="D22:D30" si="3">C22/(1+7%)^A22</f>
        <v>61140.710979124815</v>
      </c>
      <c r="E22" s="17">
        <f t="shared" ref="E22:E30" si="4">C22/(1+8%)^A22</f>
        <v>60013.71742112482</v>
      </c>
      <c r="F22" s="17">
        <f t="shared" ref="F22:F30" si="5">C22/(1+9%)^A22</f>
        <v>58917.599528659193</v>
      </c>
    </row>
    <row r="23" spans="1:6" x14ac:dyDescent="0.3">
      <c r="A23" s="16">
        <v>3</v>
      </c>
      <c r="B23" s="16" t="s">
        <v>43</v>
      </c>
      <c r="C23" s="20">
        <v>70000</v>
      </c>
      <c r="D23" s="17">
        <f t="shared" si="3"/>
        <v>57140.851382359637</v>
      </c>
      <c r="E23" s="17">
        <f t="shared" si="4"/>
        <v>55568.256871411868</v>
      </c>
      <c r="F23" s="17">
        <f t="shared" si="5"/>
        <v>54052.843604274487</v>
      </c>
    </row>
    <row r="24" spans="1:6" x14ac:dyDescent="0.3">
      <c r="A24" s="16">
        <v>4</v>
      </c>
      <c r="B24" s="16" t="s">
        <v>43</v>
      </c>
      <c r="C24" s="20">
        <v>70000</v>
      </c>
      <c r="D24" s="17">
        <f t="shared" si="3"/>
        <v>53402.664843326762</v>
      </c>
      <c r="E24" s="17">
        <f t="shared" si="4"/>
        <v>51452.089695751725</v>
      </c>
      <c r="F24" s="17">
        <f t="shared" si="5"/>
        <v>49589.764774563751</v>
      </c>
    </row>
    <row r="25" spans="1:6" x14ac:dyDescent="0.3">
      <c r="A25" s="16">
        <v>5</v>
      </c>
      <c r="B25" s="16" t="s">
        <v>43</v>
      </c>
      <c r="C25" s="20">
        <v>70000</v>
      </c>
      <c r="D25" s="17">
        <f t="shared" si="3"/>
        <v>49909.032563856788</v>
      </c>
      <c r="E25" s="17">
        <f t="shared" si="4"/>
        <v>47640.823792362709</v>
      </c>
      <c r="F25" s="17">
        <f t="shared" si="5"/>
        <v>45495.197040884166</v>
      </c>
    </row>
    <row r="26" spans="1:6" x14ac:dyDescent="0.3">
      <c r="A26" s="16">
        <v>6</v>
      </c>
      <c r="B26" s="16" t="s">
        <v>43</v>
      </c>
      <c r="C26" s="20">
        <v>70000</v>
      </c>
      <c r="D26" s="17">
        <f t="shared" si="3"/>
        <v>46643.955667155875</v>
      </c>
      <c r="E26" s="17">
        <f t="shared" si="4"/>
        <v>44111.873881817322</v>
      </c>
      <c r="F26" s="17">
        <f t="shared" si="5"/>
        <v>41738.712881545107</v>
      </c>
    </row>
    <row r="27" spans="1:6" x14ac:dyDescent="0.3">
      <c r="A27" s="16">
        <v>7</v>
      </c>
      <c r="B27" s="16" t="s">
        <v>43</v>
      </c>
      <c r="C27" s="20">
        <v>70000</v>
      </c>
      <c r="D27" s="17">
        <f t="shared" si="3"/>
        <v>43592.481931921378</v>
      </c>
      <c r="E27" s="17">
        <f t="shared" si="4"/>
        <v>40844.327668349368</v>
      </c>
      <c r="F27" s="17">
        <f t="shared" si="5"/>
        <v>38292.397139032211</v>
      </c>
    </row>
    <row r="28" spans="1:6" x14ac:dyDescent="0.3">
      <c r="A28" s="16">
        <v>8</v>
      </c>
      <c r="B28" s="16" t="s">
        <v>43</v>
      </c>
      <c r="C28" s="20">
        <v>70000</v>
      </c>
      <c r="D28" s="17">
        <f t="shared" si="3"/>
        <v>40740.63731955269</v>
      </c>
      <c r="E28" s="17">
        <f t="shared" si="4"/>
        <v>37818.821915138302</v>
      </c>
      <c r="F28" s="17">
        <f t="shared" si="5"/>
        <v>35130.639577093767</v>
      </c>
    </row>
    <row r="29" spans="1:6" x14ac:dyDescent="0.3">
      <c r="A29" s="16">
        <v>9</v>
      </c>
      <c r="B29" s="16" t="s">
        <v>43</v>
      </c>
      <c r="C29" s="20">
        <v>70000</v>
      </c>
      <c r="D29" s="17">
        <f t="shared" si="3"/>
        <v>38075.36198089036</v>
      </c>
      <c r="E29" s="17">
        <f t="shared" si="4"/>
        <v>35017.427699202133</v>
      </c>
      <c r="F29" s="17">
        <f t="shared" si="5"/>
        <v>32229.944566141068</v>
      </c>
    </row>
    <row r="30" spans="1:6" x14ac:dyDescent="0.3">
      <c r="A30" s="16">
        <v>10</v>
      </c>
      <c r="B30" s="16" t="s">
        <v>43</v>
      </c>
      <c r="C30" s="20">
        <v>70000</v>
      </c>
      <c r="D30" s="17">
        <f t="shared" si="3"/>
        <v>35584.450449430245</v>
      </c>
      <c r="E30" s="17">
        <f t="shared" si="4"/>
        <v>32423.544165927899</v>
      </c>
      <c r="F30" s="17">
        <f t="shared" si="5"/>
        <v>29568.756482698223</v>
      </c>
    </row>
    <row r="31" spans="1:6" x14ac:dyDescent="0.3">
      <c r="A31" s="30" t="s">
        <v>42</v>
      </c>
      <c r="B31" s="30"/>
      <c r="C31" s="30"/>
      <c r="D31" s="19">
        <f>SUM(D21:D30)</f>
        <v>491650.70786528208</v>
      </c>
      <c r="E31" s="19">
        <f>SUM(E21:E30)</f>
        <v>469705.69792590098</v>
      </c>
      <c r="F31" s="19">
        <f>SUM(F21:F30)</f>
        <v>449236.03908113047</v>
      </c>
    </row>
  </sheetData>
  <mergeCells count="7">
    <mergeCell ref="A1:F1"/>
    <mergeCell ref="A31:C31"/>
    <mergeCell ref="A15:B15"/>
    <mergeCell ref="A17:F17"/>
    <mergeCell ref="I9:M9"/>
    <mergeCell ref="I3:M3"/>
    <mergeCell ref="I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6345-70EB-45AE-9B80-A6A8C3B49DAD}">
  <dimension ref="A1:H9"/>
  <sheetViews>
    <sheetView tabSelected="1" workbookViewId="0">
      <selection activeCell="B9" sqref="B9"/>
    </sheetView>
  </sheetViews>
  <sheetFormatPr defaultRowHeight="14.4" x14ac:dyDescent="0.3"/>
  <cols>
    <col min="2" max="2" width="14.44140625" bestFit="1" customWidth="1"/>
    <col min="4" max="4" width="5" bestFit="1" customWidth="1"/>
    <col min="5" max="5" width="14.44140625" bestFit="1" customWidth="1"/>
  </cols>
  <sheetData>
    <row r="1" spans="1:8" x14ac:dyDescent="0.3">
      <c r="A1">
        <v>2026</v>
      </c>
      <c r="B1" s="36">
        <v>-2000000</v>
      </c>
      <c r="D1">
        <v>2026</v>
      </c>
      <c r="E1" s="36">
        <v>-2000000</v>
      </c>
    </row>
    <row r="2" spans="1:8" x14ac:dyDescent="0.3">
      <c r="A2">
        <v>2027</v>
      </c>
      <c r="B2" s="36">
        <v>450000</v>
      </c>
      <c r="D2">
        <v>2027</v>
      </c>
      <c r="E2" s="36">
        <v>600000</v>
      </c>
    </row>
    <row r="3" spans="1:8" x14ac:dyDescent="0.3">
      <c r="A3">
        <v>2028</v>
      </c>
      <c r="B3" s="36">
        <v>520000</v>
      </c>
      <c r="D3">
        <v>2028</v>
      </c>
      <c r="E3" s="36">
        <v>450000</v>
      </c>
      <c r="H3" t="s">
        <v>59</v>
      </c>
    </row>
    <row r="4" spans="1:8" x14ac:dyDescent="0.3">
      <c r="A4">
        <v>2029</v>
      </c>
      <c r="B4" s="36">
        <v>-50000</v>
      </c>
      <c r="D4">
        <v>2029</v>
      </c>
      <c r="E4" s="36">
        <v>500000</v>
      </c>
    </row>
    <row r="5" spans="1:8" x14ac:dyDescent="0.3">
      <c r="A5">
        <v>2030</v>
      </c>
      <c r="B5" s="36">
        <v>650000</v>
      </c>
      <c r="D5">
        <v>2030</v>
      </c>
      <c r="E5" s="36">
        <v>320000</v>
      </c>
    </row>
    <row r="6" spans="1:8" x14ac:dyDescent="0.3">
      <c r="A6">
        <v>2031</v>
      </c>
      <c r="B6" s="36">
        <v>800000</v>
      </c>
      <c r="D6">
        <v>2031</v>
      </c>
      <c r="E6" s="36">
        <v>590000</v>
      </c>
    </row>
    <row r="8" spans="1:8" x14ac:dyDescent="0.3">
      <c r="A8" t="s">
        <v>58</v>
      </c>
      <c r="B8" s="35">
        <v>0.08</v>
      </c>
    </row>
    <row r="9" spans="1:8" x14ac:dyDescent="0.3">
      <c r="B9" s="37">
        <f>NPV(8%,B2:B6)+(B1)</f>
        <v>-154972.79688271764</v>
      </c>
      <c r="E9" s="37">
        <f>NPV(B8,E2:E6)+E1</f>
        <v>-24972.215653778054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25PGDM243 Mahindra &amp; mahindra </vt:lpstr>
      <vt:lpstr>Time Vaule</vt:lpstr>
      <vt:lpstr>243 Case Study Vikas Emporium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KUMAR</dc:creator>
  <cp:lastModifiedBy>NIKHIL KUMAR</cp:lastModifiedBy>
  <dcterms:created xsi:type="dcterms:W3CDTF">2026-01-27T08:17:57Z</dcterms:created>
  <dcterms:modified xsi:type="dcterms:W3CDTF">2026-03-10T08:53:58Z</dcterms:modified>
</cp:coreProperties>
</file>