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B1AAE0E-93BB-4BCB-97A0-E79865C4E718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Raw_Data" sheetId="1" r:id="rId1"/>
    <sheet name="Maruti_Suzuki" sheetId="2" r:id="rId2"/>
    <sheet name="Tata_Motors" sheetId="3" r:id="rId3"/>
    <sheet name="Mahindra_and_Mahindra" sheetId="4" r:id="rId4"/>
    <sheet name="Hyundai_Motor_India" sheetId="5" r:id="rId5"/>
    <sheet name="Royal_Enfield" sheetId="6" r:id="rId6"/>
    <sheet name="Force_Motors" sheetId="7" r:id="rId7"/>
    <sheet name="Industry_Comparison" sheetId="8" r:id="rId8"/>
    <sheet name="Analysis_Recommendation" sheetId="9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<sst xmlns="http://schemas.openxmlformats.org/spreadsheetml/2006/main" count="258" uniqueCount="81">
  <si>
    <t>Company</t>
  </si>
  <si>
    <t>Sales</t>
  </si>
  <si>
    <t>Variable Cost</t>
  </si>
  <si>
    <t>Contribution</t>
  </si>
  <si>
    <t>EBIT</t>
  </si>
  <si>
    <t>Interest</t>
  </si>
  <si>
    <t>EBT</t>
  </si>
  <si>
    <t>PAT</t>
  </si>
  <si>
    <t>Total Debt</t>
  </si>
  <si>
    <t>Mkt Cap</t>
  </si>
  <si>
    <t>Beta</t>
  </si>
  <si>
    <t>Rf</t>
  </si>
  <si>
    <t>MRP</t>
  </si>
  <si>
    <t>Tax Rate</t>
  </si>
  <si>
    <t>Maruti Suzuki</t>
  </si>
  <si>
    <t>Tata Motors</t>
  </si>
  <si>
    <t>Mahindra &amp; Mahindra</t>
  </si>
  <si>
    <t>Hyundai Motor India</t>
  </si>
  <si>
    <t>Royal Enfield</t>
  </si>
  <si>
    <t>Force Motors</t>
  </si>
  <si>
    <t>MARUTI SUZUKI  —  WACC &amp; LEVERAGE  |  FY2024</t>
  </si>
  <si>
    <t>Financial Inputs</t>
  </si>
  <si>
    <t>Value (₹ Cr)</t>
  </si>
  <si>
    <t>Calculations</t>
  </si>
  <si>
    <t>Result</t>
  </si>
  <si>
    <t>Sales / Revenue</t>
  </si>
  <si>
    <t>Cost of Equity (Ke)</t>
  </si>
  <si>
    <t>Pre-tax Cost of Debt (Kd)</t>
  </si>
  <si>
    <t>After-tax Kd</t>
  </si>
  <si>
    <t>EBIT (Operating Profit)</t>
  </si>
  <si>
    <t>Weight of Equity (We)</t>
  </si>
  <si>
    <t>Interest / Finance Cost</t>
  </si>
  <si>
    <t>Weight of Debt (Wd)</t>
  </si>
  <si>
    <t>Total Capital V (₹ Cr)</t>
  </si>
  <si>
    <t>PAT / Net Profit</t>
  </si>
  <si>
    <t>WACC</t>
  </si>
  <si>
    <t>Market Capitalisation</t>
  </si>
  <si>
    <t>Contribution (₹ Cr)</t>
  </si>
  <si>
    <t>Beta (β)</t>
  </si>
  <si>
    <t>EBIT (₹ Cr)</t>
  </si>
  <si>
    <t>Risk-Free Rate (Rf)</t>
  </si>
  <si>
    <t>EBT (₹ Cr)</t>
  </si>
  <si>
    <t>Market Risk Premium (MRP)</t>
  </si>
  <si>
    <t>DOL = Contribution / EBIT</t>
  </si>
  <si>
    <t>Tax Rate (t)</t>
  </si>
  <si>
    <t>DFL = EBIT / EBT</t>
  </si>
  <si>
    <t>DTL = DOL × DFL</t>
  </si>
  <si>
    <t>TATA MOTORS  —  WACC &amp; LEVERAGE MODEL  |  FY2024  (Standalone, ₹ Crores)</t>
  </si>
  <si>
    <t>EBT / PBT</t>
  </si>
  <si>
    <t>MAHINDRA &amp; MAHINDRA  —  WACC &amp; LEVERAGE  |  FY2024</t>
  </si>
  <si>
    <t>HYUNDAI MOTOR INDIA  —  WACC &amp; LEVERAGE  |  FY2024</t>
  </si>
  <si>
    <t>ROYAL ENFIELD  —  WACC &amp; LEVERAGE  |  FY2024</t>
  </si>
  <si>
    <t>FORCE MOTORS  —  WACC &amp; LEVERAGE  |  FY2024</t>
  </si>
  <si>
    <t>AUTOMOBILE INDUSTRY — COMPARATIVE ANALYSIS  |  FY2024  (₹ Crores)</t>
  </si>
  <si>
    <t>DOL</t>
  </si>
  <si>
    <t>DFL</t>
  </si>
  <si>
    <t>DTL</t>
  </si>
  <si>
    <t>Sales (₹ Cr)</t>
  </si>
  <si>
    <t>Debt/Equity</t>
  </si>
  <si>
    <t>ICR</t>
  </si>
  <si>
    <t>▶  LOWEST WACC — Most Efficient Funding</t>
  </si>
  <si>
    <t>▶  LOWEST DTL — Least Total Risk</t>
  </si>
  <si>
    <t>▶  HIGHEST PAT MARGIN — Most Profitable</t>
  </si>
  <si>
    <t>⚠  HIGHEST WACC — Most Expensive to Fund</t>
  </si>
  <si>
    <t>AUTOMOBILE INDUSTRY — ANALYSIS &amp; RECOMMENDATION  |  FY2024</t>
  </si>
  <si>
    <t>Ke</t>
  </si>
  <si>
    <t>WACC ANALYSIS</t>
  </si>
  <si>
    <t>Mahindra &amp; Mahindra has the lowest WACC (~8.91%) — adjusted beta of 0.31 makes it the cheapest company to fund. Low debt (D/V: 2.2%) and stable cash flows justify the low risk premium.</t>
  </si>
  <si>
    <t>Tata Motors (Standalone) WACC is 15.46% — driven by beta of 1.35 and ₹14,190 Cr debt. Note: This is standalone (Passenger Vehicles only). Consolidated WACC would be higher due to JLR exposure.</t>
  </si>
  <si>
    <t>Force Motors has the highest WACC (~17.7%) reflecting its small-cap status, niche commercial vehicle market, and high beta of 1.70.</t>
  </si>
  <si>
    <t>LEVERAGE ANALYSIS</t>
  </si>
  <si>
    <t>Force Motors has the highest DOL (5.48x) — most sensitive to revenue swings. Tata Motors DOL is 1.36x reflecting high fixed manufacturing costs.</t>
  </si>
  <si>
    <t>Tata Motors DFL = 1.47x on standalone basis — carrying ₹1,706 Cr interest amplifies earnings risk. All other companies except Force have DFL near 1.0x.</t>
  </si>
  <si>
    <t>Tata Motors DTL = 2.01x (standalone) — highest combined risk in the group. M&amp;M remains the most stable at 1.45x DTL.</t>
  </si>
  <si>
    <t>RECOMMENDATION</t>
  </si>
  <si>
    <t>BEST PICK — Mahindra &amp; Mahindra: Lowest WACC (8.91%), lowest DTL (1.45x), strong PAT margin (17.1%), near-zero leverage. Best risk-adjusted investment in the group.</t>
  </si>
  <si>
    <t>CLEAN BALANCE SHEET — Royal Enfield: 24.2% PAT margin, debt-free, premium brand. Ideal for stability-focused exposure to two-wheelers.</t>
  </si>
  <si>
    <t xml:space="preserve"> RECOVERY STORY — Tata Motors (Standalone): PAT grew to ₹7,902 Cr in FY2024 vs losses in FY2021-22. Debt reduced 26% YoY. High DTL (2.01x) but improving trajectory.</t>
  </si>
  <si>
    <t>HIGH RISK — Force Motors: Highest beta (1.70), WACC (17.7%), DOL (5.48x). Strong FY2025 EBIT recovery (+85%) is encouraging but risk remains elevated.</t>
  </si>
  <si>
    <t>AUTOMOBILE INDUSTRY — LEARNING TEAM 1  |  FY2024 Key Financials  (₹ Crores)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</si>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</sst>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\x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sz val="12"/>
      <color rgb="FF7F3305"/>
      <name val="Times New Roman"/>
      <family val="1"/>
    </font>
    <font>
      <sz val="12"/>
      <color rgb="FF000000"/>
      <name val="Times New Roman"/>
      <family val="1"/>
    </font>
    <font>
      <sz val="12"/>
      <color rgb="FF1F3864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7F3305"/>
        <bgColor rgb="FF993366"/>
      </patternFill>
    </fill>
    <fill>
      <patternFill patternType="solid">
        <fgColor rgb="FFC55A11"/>
        <bgColor rgb="FF99336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right" vertical="center"/>
    </xf>
    <xf numFmtId="49" fontId="3" fillId="5" borderId="1" xfId="0" applyNumberFormat="1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10" fontId="4" fillId="5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0" fillId="5" borderId="0" xfId="0" applyFill="1"/>
    <xf numFmtId="0" fontId="5" fillId="4" borderId="1" xfId="0" applyFont="1" applyFill="1" applyBorder="1" applyAlignment="1">
      <alignment horizontal="left" vertical="center" indent="1"/>
    </xf>
    <xf numFmtId="4" fontId="4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indent="1"/>
    </xf>
    <xf numFmtId="10" fontId="3" fillId="6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indent="1"/>
    </xf>
    <xf numFmtId="4" fontId="3" fillId="6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4" fontId="3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 indent="1"/>
    </xf>
    <xf numFmtId="10" fontId="3" fillId="7" borderId="1" xfId="0" applyNumberFormat="1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 indent="1"/>
    </xf>
    <xf numFmtId="10" fontId="3" fillId="8" borderId="1" xfId="0" applyNumberFormat="1" applyFont="1" applyFill="1" applyBorder="1" applyAlignment="1">
      <alignment horizontal="right" vertical="center"/>
    </xf>
    <xf numFmtId="49" fontId="3" fillId="6" borderId="1" xfId="0" applyNumberFormat="1" applyFont="1" applyFill="1" applyBorder="1" applyAlignment="1">
      <alignment horizontal="left" vertical="center"/>
    </xf>
    <xf numFmtId="10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F3305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u="none" strike="noStrike" cap="all" normalizeH="0" baseline="0"/>
              <a:t>Revenue (₹ Crores)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Industry_Comparison!$G$2</c:f>
              <c:strCache>
                <c:ptCount val="1"/>
                <c:pt idx="0">
                  <c:v>Sales (₹ Cr)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F81BD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Industry_Comparison!$A$3:$A$8</c:f>
              <c:strCache>
                <c:ptCount val="6"/>
                <c:pt idx="0">
                  <c:v>Maruti Suzuki</c:v>
                </c:pt>
                <c:pt idx="1">
                  <c:v>Tata Motors</c:v>
                </c:pt>
                <c:pt idx="2">
                  <c:v>Mahindra &amp; Mahindra</c:v>
                </c:pt>
                <c:pt idx="3">
                  <c:v>Hyundai Motor India</c:v>
                </c:pt>
                <c:pt idx="4">
                  <c:v>Royal Enfield</c:v>
                </c:pt>
                <c:pt idx="5">
                  <c:v>Force Motors</c:v>
                </c:pt>
              </c:strCache>
            </c:strRef>
          </c:cat>
          <c:val>
            <c:numRef>
              <c:f>Industry_Comparison!$G$3:$G$8</c:f>
              <c:numCache>
                <c:formatCode>#,##0</c:formatCode>
                <c:ptCount val="6"/>
                <c:pt idx="0">
                  <c:v>152913</c:v>
                </c:pt>
                <c:pt idx="1">
                  <c:v>73303</c:v>
                </c:pt>
                <c:pt idx="2">
                  <c:v>132377</c:v>
                </c:pt>
                <c:pt idx="3">
                  <c:v>69829</c:v>
                </c:pt>
                <c:pt idx="4">
                  <c:v>16539</c:v>
                </c:pt>
                <c:pt idx="5">
                  <c:v>6933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9-4E06-9CC3-C79E987D5D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464872768"/>
        <c:axId val="1464863648"/>
      </c:barChart>
      <c:catAx>
        <c:axId val="146487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63648"/>
        <c:crosses val="autoZero"/>
        <c:auto val="1"/>
        <c:lblAlgn val="ctr"/>
        <c:lblOffset val="100"/>
        <c:noMultiLvlLbl val="0"/>
      </c:catAx>
      <c:valAx>
        <c:axId val="146486364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7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u="none" strike="noStrike" cap="all" normalizeH="0" baseline="0"/>
              <a:t>WACC % (Lowest is Best)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727034120735"/>
          <c:y val="0.17171296296296298"/>
          <c:w val="0.85334951881014875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Industry_Comparison!$B$2</c:f>
              <c:strCache>
                <c:ptCount val="1"/>
                <c:pt idx="0">
                  <c:v>WACC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Industry_Comparison!$A$3:$A$8</c:f>
              <c:strCache>
                <c:ptCount val="6"/>
                <c:pt idx="0">
                  <c:v>Maruti Suzuki</c:v>
                </c:pt>
                <c:pt idx="1">
                  <c:v>Tata Motors</c:v>
                </c:pt>
                <c:pt idx="2">
                  <c:v>Mahindra &amp; Mahindra</c:v>
                </c:pt>
                <c:pt idx="3">
                  <c:v>Hyundai Motor India</c:v>
                </c:pt>
                <c:pt idx="4">
                  <c:v>Royal Enfield</c:v>
                </c:pt>
                <c:pt idx="5">
                  <c:v>Force Motors</c:v>
                </c:pt>
              </c:strCache>
            </c:strRef>
          </c:cat>
          <c:val>
            <c:numRef>
              <c:f>Industry_Comparison!$B$3:$B$8</c:f>
              <c:numCache>
                <c:formatCode>0.00%</c:formatCode>
                <c:ptCount val="6"/>
                <c:pt idx="0">
                  <c:v>0.11090971957175701</c:v>
                </c:pt>
                <c:pt idx="1">
                  <c:v>0.15460627485638501</c:v>
                </c:pt>
                <c:pt idx="2">
                  <c:v>8.9136748758313705E-2</c:v>
                </c:pt>
                <c:pt idx="3">
                  <c:v>0.116866517395195</c:v>
                </c:pt>
                <c:pt idx="4">
                  <c:v>0.116427490997637</c:v>
                </c:pt>
                <c:pt idx="5">
                  <c:v>0.17706516379006701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0-4D73-BC4C-19A40926BA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464880448"/>
        <c:axId val="1464864608"/>
      </c:barChart>
      <c:catAx>
        <c:axId val="146488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64608"/>
        <c:crosses val="autoZero"/>
        <c:auto val="1"/>
        <c:lblAlgn val="ctr"/>
        <c:lblOffset val="100"/>
        <c:noMultiLvlLbl val="0"/>
      </c:catAx>
      <c:valAx>
        <c:axId val="146486460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8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/>
              <a:t>LEVERAGE ANALYSIS: DOL · DFL · DTL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Industry_Comparison!$D$2</c:f>
              <c:strCache>
                <c:ptCount val="1"/>
                <c:pt idx="0">
                  <c:v>DOL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Industry_Comparison!$A$3:$A$8</c:f>
              <c:strCache>
                <c:ptCount val="6"/>
                <c:pt idx="0">
                  <c:v>Maruti Suzuki</c:v>
                </c:pt>
                <c:pt idx="1">
                  <c:v>Tata Motors</c:v>
                </c:pt>
                <c:pt idx="2">
                  <c:v>Mahindra &amp; Mahindra</c:v>
                </c:pt>
                <c:pt idx="3">
                  <c:v>Hyundai Motor India</c:v>
                </c:pt>
                <c:pt idx="4">
                  <c:v>Royal Enfield</c:v>
                </c:pt>
                <c:pt idx="5">
                  <c:v>Force Motors</c:v>
                </c:pt>
              </c:strCache>
            </c:strRef>
          </c:cat>
          <c:val>
            <c:numRef>
              <c:f>Industry_Comparison!$D$3:$D$8</c:f>
              <c:numCache>
                <c:formatCode>0.00\x</c:formatCode>
                <c:ptCount val="6"/>
                <c:pt idx="0">
                  <c:v>1.19392652033672</c:v>
                </c:pt>
                <c:pt idx="1">
                  <c:v>1.3611888716087801</c:v>
                </c:pt>
                <c:pt idx="2">
                  <c:v>1.4050604651162799</c:v>
                </c:pt>
                <c:pt idx="3">
                  <c:v>1.67442956816896</c:v>
                </c:pt>
                <c:pt idx="4">
                  <c:v>1.58351893095768</c:v>
                </c:pt>
                <c:pt idx="5">
                  <c:v>2.4977973568281899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F-42E6-8603-19FE80CEDDF3}"/>
            </c:ext>
          </c:extLst>
        </c:ser>
        <c:ser>
          <c:idx val="1"/>
          <c:order val="1"/>
          <c:tx>
            <c:strRef>
              <c:f>Industry_Comparison!$E$2</c:f>
              <c:strCache>
                <c:ptCount val="1"/>
                <c:pt idx="0">
                  <c:v>DFL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Industry_Comparison!$A$3:$A$8</c:f>
              <c:strCache>
                <c:ptCount val="6"/>
                <c:pt idx="0">
                  <c:v>Maruti Suzuki</c:v>
                </c:pt>
                <c:pt idx="1">
                  <c:v>Tata Motors</c:v>
                </c:pt>
                <c:pt idx="2">
                  <c:v>Mahindra &amp; Mahindra</c:v>
                </c:pt>
                <c:pt idx="3">
                  <c:v>Hyundai Motor India</c:v>
                </c:pt>
                <c:pt idx="4">
                  <c:v>Royal Enfield</c:v>
                </c:pt>
                <c:pt idx="5">
                  <c:v>Force Motors</c:v>
                </c:pt>
              </c:strCache>
            </c:strRef>
          </c:cat>
          <c:val>
            <c:numRef>
              <c:f>Industry_Comparison!$E$3:$E$8</c:f>
              <c:numCache>
                <c:formatCode>0.00\x</c:formatCode>
                <c:ptCount val="6"/>
                <c:pt idx="0">
                  <c:v>1.00768986840019</c:v>
                </c:pt>
                <c:pt idx="1">
                  <c:v>1.4742071073748599</c:v>
                </c:pt>
                <c:pt idx="2">
                  <c:v>1.0324625432193599</c:v>
                </c:pt>
                <c:pt idx="3">
                  <c:v>1.0151225114854501</c:v>
                </c:pt>
                <c:pt idx="4">
                  <c:v>1.00795918367347</c:v>
                </c:pt>
                <c:pt idx="5">
                  <c:v>1.1001615508885301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DF-42E6-8603-19FE80CEDDF3}"/>
            </c:ext>
          </c:extLst>
        </c:ser>
        <c:ser>
          <c:idx val="2"/>
          <c:order val="2"/>
          <c:tx>
            <c:strRef>
              <c:f>Industry_Comparison!$F$2</c:f>
              <c:strCache>
                <c:ptCount val="1"/>
                <c:pt idx="0">
                  <c:v>DTL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Industry_Comparison!$A$3:$A$8</c:f>
              <c:strCache>
                <c:ptCount val="6"/>
                <c:pt idx="0">
                  <c:v>Maruti Suzuki</c:v>
                </c:pt>
                <c:pt idx="1">
                  <c:v>Tata Motors</c:v>
                </c:pt>
                <c:pt idx="2">
                  <c:v>Mahindra &amp; Mahindra</c:v>
                </c:pt>
                <c:pt idx="3">
                  <c:v>Hyundai Motor India</c:v>
                </c:pt>
                <c:pt idx="4">
                  <c:v>Royal Enfield</c:v>
                </c:pt>
                <c:pt idx="5">
                  <c:v>Force Motors</c:v>
                </c:pt>
              </c:strCache>
            </c:strRef>
          </c:cat>
          <c:val>
            <c:numRef>
              <c:f>Industry_Comparison!$F$3:$F$8</c:f>
              <c:numCache>
                <c:formatCode>0.00\x</c:formatCode>
                <c:ptCount val="6"/>
                <c:pt idx="0">
                  <c:v>1.2031076581575999</c:v>
                </c:pt>
                <c:pt idx="1">
                  <c:v>2.0066743090052199</c:v>
                </c:pt>
                <c:pt idx="2">
                  <c:v>1.4506723011909299</c:v>
                </c:pt>
                <c:pt idx="3">
                  <c:v>1.6997511485451799</c:v>
                </c:pt>
                <c:pt idx="4">
                  <c:v>1.59612244897959</c:v>
                </c:pt>
                <c:pt idx="5">
                  <c:v>2.7479806138933802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DF-42E6-8603-19FE80CEDD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64854048"/>
        <c:axId val="1464840608"/>
      </c:barChart>
      <c:catAx>
        <c:axId val="146485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40608"/>
        <c:crosses val="autoZero"/>
        <c:auto val="1"/>
        <c:lblAlgn val="ctr"/>
        <c:lblOffset val="100"/>
        <c:noMultiLvlLbl val="0"/>
      </c:catAx>
      <c:valAx>
        <c:axId val="1464840608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46485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358140</xdr:colOff>
      <xdr:row>0</xdr:row>
      <xdr:rowOff>87630</xdr:rowOff>
    </xdr:from>
    <xdr:to>
      <xdr:col>19</xdr:col>
      <xdr:colOff>175260</xdr:colOff>
      <xdr:row>13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4FEF2-58F8-F2DB-AB5C-BCE9DCE48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320040</xdr:colOff>
      <xdr:row>14</xdr:row>
      <xdr:rowOff>64770</xdr:rowOff>
    </xdr:from>
    <xdr:to>
      <xdr:col>19</xdr:col>
      <xdr:colOff>137160</xdr:colOff>
      <xdr:row>29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1CEE86-F7F0-2EF9-90CF-A1B065C6D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457200</xdr:colOff>
      <xdr:row>18</xdr:row>
      <xdr:rowOff>87630</xdr:rowOff>
    </xdr:from>
    <xdr:to>
      <xdr:col>10</xdr:col>
      <xdr:colOff>251460</xdr:colOff>
      <xdr:row>33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0DF017-55D9-C1F0-FC4A-85CCADD5A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showGridLines="0" zoomScaleNormal="100" workbookViewId="0">
      <selection activeCell="H11" sqref="H11"/>
    </sheetView>
  </sheetViews>
  <sheetFormatPr defaultColWidth="8.6328125" defaultRowHeight="14.5" x14ac:dyDescent="0.35"/>
  <cols>
    <col min="1" max="1" width="24" customWidth="1"/>
    <col min="2" max="2" width="14" customWidth="1"/>
    <col min="3" max="3" width="15" customWidth="1"/>
    <col min="4" max="4" width="14" customWidth="1"/>
    <col min="5" max="5" width="12" customWidth="1"/>
    <col min="6" max="6" width="11" customWidth="1"/>
    <col min="7" max="8" width="12" customWidth="1"/>
    <col min="9" max="9" width="13" customWidth="1"/>
    <col min="10" max="10" width="14" customWidth="1"/>
    <col min="11" max="13" width="8" customWidth="1"/>
    <col min="14" max="14" width="10" customWidth="1"/>
  </cols>
  <sheetData>
    <row r="1" spans="1:14" ht="31.5" customHeight="1" x14ac:dyDescent="0.35">
      <c r="A1" s="41" t="s">
        <v>79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4" ht="19.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15.75" customHeight="1" x14ac:dyDescent="0.35">
      <c r="A3" s="3" t="s">
        <v>14</v>
      </c>
      <c r="B3" s="4">
        <v>152913</v>
      </c>
      <c r="C3" s="4">
        <v>122561</v>
      </c>
      <c r="D3" s="4">
        <v>30352</v>
      </c>
      <c r="E3" s="4">
        <v>25422</v>
      </c>
      <c r="F3" s="4">
        <v>194.2</v>
      </c>
      <c r="G3" s="4">
        <v>25228</v>
      </c>
      <c r="H3" s="4">
        <v>14500</v>
      </c>
      <c r="I3" s="4">
        <v>87</v>
      </c>
      <c r="J3" s="4">
        <v>340000</v>
      </c>
      <c r="K3" s="5">
        <v>0.94599999999999995</v>
      </c>
      <c r="L3" s="6">
        <v>6.7000000000000004E-2</v>
      </c>
      <c r="M3" s="6">
        <v>4.5999999999999999E-2</v>
      </c>
      <c r="N3" s="6">
        <v>0.26100000000000001</v>
      </c>
    </row>
    <row r="4" spans="1:14" ht="15.75" customHeight="1" x14ac:dyDescent="0.35">
      <c r="A4" s="7" t="s">
        <v>15</v>
      </c>
      <c r="B4" s="8">
        <v>73303</v>
      </c>
      <c r="C4" s="8">
        <v>57548.6</v>
      </c>
      <c r="D4" s="8">
        <v>15754.4</v>
      </c>
      <c r="E4" s="8">
        <v>11574</v>
      </c>
      <c r="F4" s="8">
        <v>1706</v>
      </c>
      <c r="G4" s="8">
        <v>7851</v>
      </c>
      <c r="H4" s="8">
        <v>7902</v>
      </c>
      <c r="I4" s="8">
        <v>14190</v>
      </c>
      <c r="J4" s="8">
        <v>280000</v>
      </c>
      <c r="K4" s="9">
        <v>1.35</v>
      </c>
      <c r="L4" s="10">
        <v>7.0000000000000007E-2</v>
      </c>
      <c r="M4" s="10">
        <v>6.5000000000000002E-2</v>
      </c>
      <c r="N4" s="10">
        <v>0.23</v>
      </c>
    </row>
    <row r="5" spans="1:14" ht="15.75" customHeight="1" x14ac:dyDescent="0.35">
      <c r="A5" s="3" t="s">
        <v>16</v>
      </c>
      <c r="B5" s="4">
        <v>132377</v>
      </c>
      <c r="C5" s="4">
        <v>94616</v>
      </c>
      <c r="D5" s="4">
        <v>37761</v>
      </c>
      <c r="E5" s="4">
        <v>26875</v>
      </c>
      <c r="F5" s="4">
        <v>845</v>
      </c>
      <c r="G5" s="4">
        <v>26030</v>
      </c>
      <c r="H5" s="4">
        <v>22574</v>
      </c>
      <c r="I5" s="4">
        <v>6335</v>
      </c>
      <c r="J5" s="4">
        <v>284600</v>
      </c>
      <c r="K5" s="5">
        <v>0.31</v>
      </c>
      <c r="L5" s="6">
        <v>7.0300000000000001E-2</v>
      </c>
      <c r="M5" s="6">
        <v>0.06</v>
      </c>
      <c r="N5" s="6">
        <v>0.252</v>
      </c>
    </row>
    <row r="6" spans="1:14" ht="15.75" customHeight="1" x14ac:dyDescent="0.35">
      <c r="A6" s="7" t="s">
        <v>17</v>
      </c>
      <c r="B6" s="8">
        <v>69829</v>
      </c>
      <c r="C6" s="8">
        <v>52070</v>
      </c>
      <c r="D6" s="8">
        <v>17759</v>
      </c>
      <c r="E6" s="8">
        <v>10606</v>
      </c>
      <c r="F6" s="8">
        <v>158</v>
      </c>
      <c r="G6" s="8">
        <v>10448</v>
      </c>
      <c r="H6" s="8">
        <v>6060</v>
      </c>
      <c r="I6" s="8">
        <v>833</v>
      </c>
      <c r="J6" s="8">
        <v>142195</v>
      </c>
      <c r="K6" s="9">
        <v>0.85</v>
      </c>
      <c r="L6" s="10">
        <v>7.0000000000000007E-2</v>
      </c>
      <c r="M6" s="10">
        <v>5.5E-2</v>
      </c>
      <c r="N6" s="10">
        <v>0.27900000000000003</v>
      </c>
    </row>
    <row r="7" spans="1:14" ht="15.75" customHeight="1" x14ac:dyDescent="0.35">
      <c r="A7" s="3" t="s">
        <v>18</v>
      </c>
      <c r="B7" s="4">
        <v>16539</v>
      </c>
      <c r="C7" s="4">
        <v>8718</v>
      </c>
      <c r="D7" s="4">
        <v>7821</v>
      </c>
      <c r="E7" s="4">
        <v>4939</v>
      </c>
      <c r="F7" s="4">
        <v>39</v>
      </c>
      <c r="G7" s="4">
        <v>4900</v>
      </c>
      <c r="H7" s="4">
        <v>4001</v>
      </c>
      <c r="I7" s="4">
        <v>419</v>
      </c>
      <c r="J7" s="4">
        <v>96500</v>
      </c>
      <c r="K7" s="5">
        <v>0.82</v>
      </c>
      <c r="L7" s="6">
        <v>7.1499999999999994E-2</v>
      </c>
      <c r="M7" s="6">
        <v>5.5E-2</v>
      </c>
      <c r="N7" s="6">
        <v>0.17599999999999999</v>
      </c>
    </row>
    <row r="8" spans="1:14" ht="15.75" customHeight="1" x14ac:dyDescent="0.35">
      <c r="A8" s="7" t="s">
        <v>19</v>
      </c>
      <c r="B8" s="8">
        <v>6933</v>
      </c>
      <c r="C8" s="8">
        <v>5232</v>
      </c>
      <c r="D8" s="8">
        <v>1701</v>
      </c>
      <c r="E8" s="8">
        <v>681</v>
      </c>
      <c r="F8" s="8">
        <v>62</v>
      </c>
      <c r="G8" s="8">
        <v>619</v>
      </c>
      <c r="H8" s="8">
        <v>399</v>
      </c>
      <c r="I8" s="8">
        <v>17</v>
      </c>
      <c r="J8" s="8">
        <v>8500</v>
      </c>
      <c r="K8" s="9">
        <v>1.7</v>
      </c>
      <c r="L8" s="10">
        <v>6.9000000000000006E-2</v>
      </c>
      <c r="M8" s="10">
        <v>6.0999999999999999E-2</v>
      </c>
      <c r="N8" s="10">
        <v>0.35299999999999998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tabSelected="1" zoomScaleNormal="100" workbookViewId="0">
      <selection activeCell="B10" sqref="B10"/>
    </sheetView>
  </sheetViews>
  <sheetFormatPr defaultColWidth="8.6328125" defaultRowHeight="14.5" x14ac:dyDescent="0.35"/>
  <cols>
    <col min="1" max="1" width="33" customWidth="1"/>
    <col min="2" max="2" width="16" customWidth="1"/>
    <col min="3" max="3" width="3" customWidth="1"/>
    <col min="4" max="4" width="30" customWidth="1"/>
    <col min="5" max="5" width="16" customWidth="1"/>
  </cols>
  <sheetData>
    <row r="1" spans="1:5" ht="16.5" x14ac:dyDescent="0.35">
      <c r="A1" s="41" t="s">
        <v>20</v>
      </c>
      <c r="B1" s="41"/>
      <c r="C1" s="41"/>
      <c r="D1" s="41"/>
      <c r="E1" s="41"/>
    </row>
    <row r="2" spans="1:5" ht="15" x14ac:dyDescent="0.35">
      <c r="A2" s="1" t="s">
        <v>21</v>
      </c>
      <c r="B2" s="11" t="s">
        <v>22</v>
      </c>
      <c r="C2" s="12"/>
      <c r="D2" s="1" t="s">
        <v>23</v>
      </c>
      <c r="E2" s="11" t="s">
        <v>24</v>
      </c>
    </row>
    <row r="3" spans="1:5" ht="15.5" x14ac:dyDescent="0.35">
      <c r="A3" s="13" t="s">
        <v>25</v>
      </c>
      <c r="B3" s="14">
        <v>152913</v>
      </c>
      <c r="C3" s="12"/>
      <c r="D3" s="15" t="s">
        <v>26</v>
      </c>
      <c r="E3" s="16">
        <v>0.110516</v>
      </c>
    </row>
    <row r="4" spans="1:5" ht="15.5" x14ac:dyDescent="0.35">
      <c r="A4" s="13" t="s">
        <v>2</v>
      </c>
      <c r="B4" s="14">
        <v>122561</v>
      </c>
      <c r="C4" s="12"/>
      <c r="D4" s="13" t="s">
        <v>27</v>
      </c>
      <c r="E4" s="17">
        <v>5.5399999999999998E-2</v>
      </c>
    </row>
    <row r="5" spans="1:5" ht="15.5" x14ac:dyDescent="0.35">
      <c r="A5" s="18" t="s">
        <v>3</v>
      </c>
      <c r="B5" s="19">
        <v>30352</v>
      </c>
      <c r="C5" s="12"/>
      <c r="D5" s="13" t="s">
        <v>28</v>
      </c>
      <c r="E5" s="17">
        <v>4.0899999999999999E-2</v>
      </c>
    </row>
    <row r="6" spans="1:5" ht="15.5" x14ac:dyDescent="0.35">
      <c r="A6" s="18" t="s">
        <v>29</v>
      </c>
      <c r="B6" s="19">
        <v>25422</v>
      </c>
      <c r="C6" s="12"/>
      <c r="D6" s="13" t="s">
        <v>30</v>
      </c>
      <c r="E6" s="20">
        <v>0.99974418310608804</v>
      </c>
    </row>
    <row r="7" spans="1:5" ht="15.5" x14ac:dyDescent="0.35">
      <c r="A7" s="13" t="s">
        <v>31</v>
      </c>
      <c r="B7" s="14">
        <v>194.2</v>
      </c>
      <c r="C7" s="12"/>
      <c r="D7" s="13" t="s">
        <v>32</v>
      </c>
      <c r="E7" s="20">
        <v>2.5581689391244002E-4</v>
      </c>
    </row>
    <row r="8" spans="1:5" ht="15.5" x14ac:dyDescent="0.35">
      <c r="A8" s="18" t="s">
        <v>6</v>
      </c>
      <c r="B8" s="19">
        <v>25228</v>
      </c>
      <c r="C8" s="12"/>
      <c r="D8" s="13" t="s">
        <v>33</v>
      </c>
      <c r="E8" s="21">
        <v>340087</v>
      </c>
    </row>
    <row r="9" spans="1:5" ht="15" x14ac:dyDescent="0.35">
      <c r="A9" s="18" t="s">
        <v>34</v>
      </c>
      <c r="B9" s="22">
        <v>14500</v>
      </c>
      <c r="C9" s="12"/>
      <c r="D9" s="23" t="s">
        <v>35</v>
      </c>
      <c r="E9" s="24">
        <v>0.11090971957175701</v>
      </c>
    </row>
    <row r="10" spans="1:5" ht="15.5" x14ac:dyDescent="0.35">
      <c r="A10" s="13" t="s">
        <v>8</v>
      </c>
      <c r="B10" s="14">
        <v>0</v>
      </c>
      <c r="C10" s="12"/>
    </row>
    <row r="11" spans="1:5" ht="15.5" x14ac:dyDescent="0.35">
      <c r="A11" s="13" t="s">
        <v>36</v>
      </c>
      <c r="B11" s="14">
        <v>340000</v>
      </c>
      <c r="C11" s="12"/>
      <c r="D11" s="13" t="s">
        <v>37</v>
      </c>
      <c r="E11" s="21">
        <v>30352</v>
      </c>
    </row>
    <row r="12" spans="1:5" ht="15.5" x14ac:dyDescent="0.35">
      <c r="A12" s="13" t="s">
        <v>38</v>
      </c>
      <c r="B12" s="9">
        <v>0.94599999999999995</v>
      </c>
      <c r="C12" s="12"/>
      <c r="D12" s="13" t="s">
        <v>39</v>
      </c>
      <c r="E12" s="21">
        <v>25422</v>
      </c>
    </row>
    <row r="13" spans="1:5" ht="15.5" x14ac:dyDescent="0.35">
      <c r="A13" s="13" t="s">
        <v>40</v>
      </c>
      <c r="B13" s="10">
        <v>6.7000000000000004E-2</v>
      </c>
      <c r="C13" s="12"/>
      <c r="D13" s="13" t="s">
        <v>41</v>
      </c>
      <c r="E13" s="21">
        <v>25228</v>
      </c>
    </row>
    <row r="14" spans="1:5" ht="15.5" x14ac:dyDescent="0.35">
      <c r="A14" s="13" t="s">
        <v>42</v>
      </c>
      <c r="B14" s="10">
        <v>4.5999999999999999E-2</v>
      </c>
      <c r="C14" s="12"/>
      <c r="D14" s="15" t="s">
        <v>43</v>
      </c>
      <c r="E14" s="25">
        <v>1.19392652033672</v>
      </c>
    </row>
    <row r="15" spans="1:5" ht="15.5" x14ac:dyDescent="0.35">
      <c r="A15" s="13" t="s">
        <v>44</v>
      </c>
      <c r="B15" s="10">
        <v>0.26100000000000001</v>
      </c>
      <c r="C15" s="12"/>
      <c r="D15" s="15" t="s">
        <v>45</v>
      </c>
      <c r="E15" s="25">
        <v>1.00768986840019</v>
      </c>
    </row>
    <row r="16" spans="1:5" ht="15" x14ac:dyDescent="0.35">
      <c r="C16" s="12"/>
      <c r="D16" s="23" t="s">
        <v>46</v>
      </c>
      <c r="E16" s="26">
        <v>1.2031076581575999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zoomScaleNormal="100" workbookViewId="0">
      <selection activeCell="B12" sqref="A1:E16"/>
    </sheetView>
  </sheetViews>
  <sheetFormatPr defaultColWidth="8.6328125" defaultRowHeight="14.5" x14ac:dyDescent="0.35"/>
  <cols>
    <col min="1" max="1" width="33" customWidth="1"/>
    <col min="2" max="2" width="16" customWidth="1"/>
    <col min="3" max="3" width="3" customWidth="1"/>
    <col min="4" max="4" width="30" customWidth="1"/>
    <col min="5" max="5" width="16" customWidth="1"/>
  </cols>
  <sheetData>
    <row r="1" spans="1:5" ht="15" x14ac:dyDescent="0.35">
      <c r="A1" s="40" t="s">
        <v>47</v>
      </c>
      <c r="B1" s="40"/>
      <c r="C1" s="40"/>
      <c r="D1" s="40"/>
      <c r="E1" s="40"/>
    </row>
    <row r="2" spans="1:5" ht="15" x14ac:dyDescent="0.35">
      <c r="A2" s="1" t="s">
        <v>21</v>
      </c>
      <c r="B2" s="11" t="s">
        <v>22</v>
      </c>
      <c r="C2" s="12"/>
      <c r="D2" s="1" t="s">
        <v>23</v>
      </c>
      <c r="E2" s="11" t="s">
        <v>24</v>
      </c>
    </row>
    <row r="3" spans="1:5" ht="15.5" x14ac:dyDescent="0.35">
      <c r="A3" s="13" t="s">
        <v>25</v>
      </c>
      <c r="B3" s="14">
        <v>73303</v>
      </c>
      <c r="C3" s="12"/>
      <c r="D3" s="15" t="s">
        <v>26</v>
      </c>
      <c r="E3" s="16">
        <v>0.15775</v>
      </c>
    </row>
    <row r="4" spans="1:5" ht="15.5" x14ac:dyDescent="0.35">
      <c r="A4" s="13" t="s">
        <v>2</v>
      </c>
      <c r="B4" s="14">
        <v>57548.6</v>
      </c>
      <c r="C4" s="12"/>
      <c r="D4" s="13" t="s">
        <v>27</v>
      </c>
      <c r="E4" s="17">
        <v>0.12022551092318499</v>
      </c>
    </row>
    <row r="5" spans="1:5" ht="15.5" x14ac:dyDescent="0.35">
      <c r="A5" s="18" t="s">
        <v>3</v>
      </c>
      <c r="B5" s="19">
        <v>15754.4</v>
      </c>
      <c r="C5" s="12"/>
      <c r="D5" s="13" t="s">
        <v>28</v>
      </c>
      <c r="E5" s="17">
        <v>9.2573643410852696E-2</v>
      </c>
    </row>
    <row r="6" spans="1:5" ht="15.5" x14ac:dyDescent="0.35">
      <c r="A6" s="18" t="s">
        <v>29</v>
      </c>
      <c r="B6" s="19">
        <v>11574</v>
      </c>
      <c r="C6" s="12"/>
      <c r="D6" s="13" t="s">
        <v>30</v>
      </c>
      <c r="E6" s="20">
        <v>0.951765865597063</v>
      </c>
    </row>
    <row r="7" spans="1:5" ht="15.5" x14ac:dyDescent="0.35">
      <c r="A7" s="13" t="s">
        <v>31</v>
      </c>
      <c r="B7" s="14">
        <v>1706</v>
      </c>
      <c r="C7" s="12"/>
      <c r="D7" s="13" t="s">
        <v>32</v>
      </c>
      <c r="E7" s="20">
        <v>4.8234134402936897E-2</v>
      </c>
    </row>
    <row r="8" spans="1:5" ht="15.5" x14ac:dyDescent="0.35">
      <c r="A8" s="18" t="s">
        <v>48</v>
      </c>
      <c r="B8" s="19">
        <v>7851</v>
      </c>
      <c r="C8" s="12"/>
      <c r="D8" s="13" t="s">
        <v>33</v>
      </c>
      <c r="E8" s="21">
        <v>294190</v>
      </c>
    </row>
    <row r="9" spans="1:5" ht="15" x14ac:dyDescent="0.35">
      <c r="A9" s="18" t="s">
        <v>34</v>
      </c>
      <c r="B9" s="22">
        <v>7902</v>
      </c>
      <c r="C9" s="12"/>
      <c r="D9" s="23" t="s">
        <v>35</v>
      </c>
      <c r="E9" s="24">
        <v>0.15460627485638501</v>
      </c>
    </row>
    <row r="10" spans="1:5" ht="15.5" x14ac:dyDescent="0.35">
      <c r="A10" s="13" t="s">
        <v>8</v>
      </c>
      <c r="B10" s="14">
        <v>14190</v>
      </c>
      <c r="C10" s="12"/>
    </row>
    <row r="11" spans="1:5" ht="15.5" x14ac:dyDescent="0.35">
      <c r="A11" s="13" t="s">
        <v>36</v>
      </c>
      <c r="B11" s="14">
        <v>280000</v>
      </c>
      <c r="C11" s="12"/>
      <c r="D11" s="13" t="s">
        <v>37</v>
      </c>
      <c r="E11" s="21">
        <v>15754.4</v>
      </c>
    </row>
    <row r="12" spans="1:5" ht="15.5" x14ac:dyDescent="0.35">
      <c r="A12" s="13" t="s">
        <v>38</v>
      </c>
      <c r="B12" s="9">
        <v>1.35</v>
      </c>
      <c r="C12" s="12"/>
      <c r="D12" s="13" t="s">
        <v>39</v>
      </c>
      <c r="E12" s="21">
        <v>11574</v>
      </c>
    </row>
    <row r="13" spans="1:5" ht="15.5" x14ac:dyDescent="0.35">
      <c r="A13" s="13" t="s">
        <v>40</v>
      </c>
      <c r="B13" s="10">
        <v>7.0000000000000007E-2</v>
      </c>
      <c r="C13" s="12"/>
      <c r="D13" s="13" t="s">
        <v>41</v>
      </c>
      <c r="E13" s="21">
        <v>7851</v>
      </c>
    </row>
    <row r="14" spans="1:5" ht="15.5" x14ac:dyDescent="0.35">
      <c r="A14" s="13" t="s">
        <v>42</v>
      </c>
      <c r="B14" s="10">
        <v>6.5000000000000002E-2</v>
      </c>
      <c r="C14" s="12"/>
      <c r="D14" s="15" t="s">
        <v>43</v>
      </c>
      <c r="E14" s="25">
        <v>1.3611888716087801</v>
      </c>
    </row>
    <row r="15" spans="1:5" ht="15.5" x14ac:dyDescent="0.35">
      <c r="A15" s="13" t="s">
        <v>44</v>
      </c>
      <c r="B15" s="10">
        <v>0.23</v>
      </c>
      <c r="C15" s="12"/>
      <c r="D15" s="15" t="s">
        <v>45</v>
      </c>
      <c r="E15" s="25">
        <v>1.4742071073748599</v>
      </c>
    </row>
    <row r="16" spans="1:5" ht="15" x14ac:dyDescent="0.35">
      <c r="C16" s="12"/>
      <c r="D16" s="23" t="s">
        <v>46</v>
      </c>
      <c r="E16" s="26">
        <v>2.0066743090052199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showGridLines="0" zoomScaleNormal="100" workbookViewId="0">
      <selection activeCell="D7" sqref="A1:E16"/>
    </sheetView>
  </sheetViews>
  <sheetFormatPr defaultColWidth="8.6328125" defaultRowHeight="14.5" x14ac:dyDescent="0.35"/>
  <cols>
    <col min="1" max="1" width="33" customWidth="1"/>
    <col min="2" max="2" width="16" customWidth="1"/>
    <col min="3" max="3" width="3" customWidth="1"/>
    <col min="4" max="4" width="30" customWidth="1"/>
    <col min="5" max="5" width="16" customWidth="1"/>
  </cols>
  <sheetData>
    <row r="1" spans="1:5" ht="16.5" x14ac:dyDescent="0.35">
      <c r="A1" s="41" t="s">
        <v>49</v>
      </c>
      <c r="B1" s="41"/>
      <c r="C1" s="41"/>
      <c r="D1" s="41"/>
      <c r="E1" s="41"/>
    </row>
    <row r="2" spans="1:5" ht="15" x14ac:dyDescent="0.35">
      <c r="A2" s="1" t="s">
        <v>21</v>
      </c>
      <c r="B2" s="11" t="s">
        <v>22</v>
      </c>
      <c r="C2" s="12"/>
      <c r="D2" s="1" t="s">
        <v>23</v>
      </c>
      <c r="E2" s="11" t="s">
        <v>24</v>
      </c>
    </row>
    <row r="3" spans="1:5" ht="15.5" x14ac:dyDescent="0.35">
      <c r="A3" s="13" t="s">
        <v>25</v>
      </c>
      <c r="B3" s="14">
        <v>132377</v>
      </c>
      <c r="C3" s="12"/>
      <c r="D3" s="15" t="s">
        <v>26</v>
      </c>
      <c r="E3" s="16">
        <v>8.8900000000000007E-2</v>
      </c>
    </row>
    <row r="4" spans="1:5" ht="15.5" x14ac:dyDescent="0.35">
      <c r="A4" s="13" t="s">
        <v>2</v>
      </c>
      <c r="B4" s="14">
        <v>94616</v>
      </c>
      <c r="C4" s="12"/>
      <c r="D4" s="13" t="s">
        <v>27</v>
      </c>
      <c r="E4" s="17">
        <v>0.13338595106550899</v>
      </c>
    </row>
    <row r="5" spans="1:5" ht="15.5" x14ac:dyDescent="0.35">
      <c r="A5" s="18" t="s">
        <v>3</v>
      </c>
      <c r="B5" s="19">
        <v>37761</v>
      </c>
      <c r="C5" s="12"/>
      <c r="D5" s="13" t="s">
        <v>28</v>
      </c>
      <c r="E5" s="17">
        <v>9.9772691397000804E-2</v>
      </c>
    </row>
    <row r="6" spans="1:5" ht="15.5" x14ac:dyDescent="0.35">
      <c r="A6" s="18" t="s">
        <v>29</v>
      </c>
      <c r="B6" s="19">
        <v>26875</v>
      </c>
      <c r="C6" s="12"/>
      <c r="D6" s="13" t="s">
        <v>30</v>
      </c>
      <c r="E6" s="20">
        <v>0.97822537680237898</v>
      </c>
    </row>
    <row r="7" spans="1:5" ht="15.5" x14ac:dyDescent="0.35">
      <c r="A7" s="13" t="s">
        <v>31</v>
      </c>
      <c r="B7" s="14">
        <v>845</v>
      </c>
      <c r="C7" s="12"/>
      <c r="D7" s="13" t="s">
        <v>32</v>
      </c>
      <c r="E7" s="20">
        <v>2.1774623197621499E-2</v>
      </c>
    </row>
    <row r="8" spans="1:5" ht="15.5" x14ac:dyDescent="0.35">
      <c r="A8" s="18" t="s">
        <v>6</v>
      </c>
      <c r="B8" s="19">
        <v>26030</v>
      </c>
      <c r="C8" s="12"/>
      <c r="D8" s="13" t="s">
        <v>33</v>
      </c>
      <c r="E8" s="21">
        <v>290935</v>
      </c>
    </row>
    <row r="9" spans="1:5" ht="15" x14ac:dyDescent="0.35">
      <c r="A9" s="18" t="s">
        <v>34</v>
      </c>
      <c r="B9" s="22">
        <v>22574</v>
      </c>
      <c r="C9" s="12"/>
      <c r="D9" s="23" t="s">
        <v>35</v>
      </c>
      <c r="E9" s="24">
        <v>8.9136748758313705E-2</v>
      </c>
    </row>
    <row r="10" spans="1:5" ht="15.5" x14ac:dyDescent="0.35">
      <c r="A10" s="13" t="s">
        <v>8</v>
      </c>
      <c r="B10" s="14">
        <v>6335</v>
      </c>
      <c r="C10" s="12"/>
    </row>
    <row r="11" spans="1:5" ht="15.5" x14ac:dyDescent="0.35">
      <c r="A11" s="13" t="s">
        <v>36</v>
      </c>
      <c r="B11" s="14">
        <v>284600</v>
      </c>
      <c r="C11" s="12"/>
      <c r="D11" s="13" t="s">
        <v>37</v>
      </c>
      <c r="E11" s="21">
        <v>37761</v>
      </c>
    </row>
    <row r="12" spans="1:5" ht="15.5" x14ac:dyDescent="0.35">
      <c r="A12" s="13" t="s">
        <v>38</v>
      </c>
      <c r="B12" s="9">
        <v>0.31</v>
      </c>
      <c r="C12" s="12"/>
      <c r="D12" s="13" t="s">
        <v>39</v>
      </c>
      <c r="E12" s="21">
        <v>26875</v>
      </c>
    </row>
    <row r="13" spans="1:5" ht="15.5" x14ac:dyDescent="0.35">
      <c r="A13" s="13" t="s">
        <v>40</v>
      </c>
      <c r="B13" s="10">
        <v>7.0300000000000001E-2</v>
      </c>
      <c r="C13" s="12"/>
      <c r="D13" s="13" t="s">
        <v>41</v>
      </c>
      <c r="E13" s="21">
        <v>26030</v>
      </c>
    </row>
    <row r="14" spans="1:5" ht="15.5" x14ac:dyDescent="0.35">
      <c r="A14" s="13" t="s">
        <v>42</v>
      </c>
      <c r="B14" s="10">
        <v>0.06</v>
      </c>
      <c r="C14" s="12"/>
      <c r="D14" s="15" t="s">
        <v>43</v>
      </c>
      <c r="E14" s="25">
        <v>1.4050604651162799</v>
      </c>
    </row>
    <row r="15" spans="1:5" ht="15.5" x14ac:dyDescent="0.35">
      <c r="A15" s="13" t="s">
        <v>44</v>
      </c>
      <c r="B15" s="10">
        <v>0.252</v>
      </c>
      <c r="C15" s="12"/>
      <c r="D15" s="15" t="s">
        <v>45</v>
      </c>
      <c r="E15" s="25">
        <v>1.0324625432193599</v>
      </c>
    </row>
    <row r="16" spans="1:5" ht="15" x14ac:dyDescent="0.35">
      <c r="C16" s="12"/>
      <c r="D16" s="23" t="s">
        <v>46</v>
      </c>
      <c r="E16" s="26">
        <v>1.4506723011909299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showGridLines="0" zoomScaleNormal="100" workbookViewId="0">
      <selection activeCell="F21" sqref="F21"/>
    </sheetView>
  </sheetViews>
  <sheetFormatPr defaultColWidth="8.6328125" defaultRowHeight="14.5" x14ac:dyDescent="0.35"/>
  <cols>
    <col min="1" max="1" width="33" customWidth="1"/>
    <col min="2" max="2" width="16" customWidth="1"/>
    <col min="3" max="3" width="3" customWidth="1"/>
    <col min="4" max="4" width="30" customWidth="1"/>
    <col min="5" max="5" width="16" customWidth="1"/>
  </cols>
  <sheetData>
    <row r="1" spans="1:5" ht="16.5" x14ac:dyDescent="0.35">
      <c r="A1" s="41" t="s">
        <v>50</v>
      </c>
      <c r="B1" s="41"/>
      <c r="C1" s="41"/>
      <c r="D1" s="41"/>
      <c r="E1" s="41"/>
    </row>
    <row r="2" spans="1:5" ht="15" x14ac:dyDescent="0.35">
      <c r="A2" s="1" t="s">
        <v>21</v>
      </c>
      <c r="B2" s="11" t="s">
        <v>22</v>
      </c>
      <c r="C2" s="12"/>
      <c r="D2" s="1" t="s">
        <v>23</v>
      </c>
      <c r="E2" s="11" t="s">
        <v>24</v>
      </c>
    </row>
    <row r="3" spans="1:5" ht="15.5" x14ac:dyDescent="0.35">
      <c r="A3" s="13" t="s">
        <v>25</v>
      </c>
      <c r="B3" s="14">
        <v>69829</v>
      </c>
      <c r="C3" s="12"/>
      <c r="D3" s="15" t="s">
        <v>26</v>
      </c>
      <c r="E3" s="16">
        <v>0.11675000000000001</v>
      </c>
    </row>
    <row r="4" spans="1:5" ht="15.5" x14ac:dyDescent="0.35">
      <c r="A4" s="13" t="s">
        <v>2</v>
      </c>
      <c r="B4" s="14">
        <v>52070</v>
      </c>
      <c r="C4" s="12"/>
      <c r="D4" s="13" t="s">
        <v>27</v>
      </c>
      <c r="E4" s="17">
        <v>0.18967587034813899</v>
      </c>
    </row>
    <row r="5" spans="1:5" ht="15.5" x14ac:dyDescent="0.35">
      <c r="A5" s="18" t="s">
        <v>3</v>
      </c>
      <c r="B5" s="19">
        <v>17759</v>
      </c>
      <c r="C5" s="12"/>
      <c r="D5" s="13" t="s">
        <v>28</v>
      </c>
      <c r="E5" s="17">
        <v>0.13675630252100801</v>
      </c>
    </row>
    <row r="6" spans="1:5" ht="15.5" x14ac:dyDescent="0.35">
      <c r="A6" s="18" t="s">
        <v>29</v>
      </c>
      <c r="B6" s="19">
        <v>10606</v>
      </c>
      <c r="C6" s="12"/>
      <c r="D6" s="13" t="s">
        <v>30</v>
      </c>
      <c r="E6" s="20">
        <v>0.99417596554520804</v>
      </c>
    </row>
    <row r="7" spans="1:5" ht="15.5" x14ac:dyDescent="0.35">
      <c r="A7" s="13" t="s">
        <v>31</v>
      </c>
      <c r="B7" s="14">
        <v>158</v>
      </c>
      <c r="C7" s="12"/>
      <c r="D7" s="13" t="s">
        <v>32</v>
      </c>
      <c r="E7" s="20">
        <v>5.82403445479207E-3</v>
      </c>
    </row>
    <row r="8" spans="1:5" ht="15.5" x14ac:dyDescent="0.35">
      <c r="A8" s="18" t="s">
        <v>6</v>
      </c>
      <c r="B8" s="19">
        <v>10448</v>
      </c>
      <c r="C8" s="12"/>
      <c r="D8" s="13" t="s">
        <v>33</v>
      </c>
      <c r="E8" s="21">
        <v>143028</v>
      </c>
    </row>
    <row r="9" spans="1:5" ht="15" x14ac:dyDescent="0.35">
      <c r="A9" s="18" t="s">
        <v>34</v>
      </c>
      <c r="B9" s="22">
        <v>6060</v>
      </c>
      <c r="C9" s="12"/>
      <c r="D9" s="23" t="s">
        <v>35</v>
      </c>
      <c r="E9" s="24">
        <v>0.116866517395195</v>
      </c>
    </row>
    <row r="10" spans="1:5" ht="15.5" x14ac:dyDescent="0.35">
      <c r="A10" s="13" t="s">
        <v>8</v>
      </c>
      <c r="B10" s="14">
        <v>833</v>
      </c>
      <c r="C10" s="12"/>
    </row>
    <row r="11" spans="1:5" ht="15.5" x14ac:dyDescent="0.35">
      <c r="A11" s="13" t="s">
        <v>36</v>
      </c>
      <c r="B11" s="14">
        <v>142195</v>
      </c>
      <c r="C11" s="12"/>
      <c r="D11" s="13" t="s">
        <v>37</v>
      </c>
      <c r="E11" s="21">
        <v>17759</v>
      </c>
    </row>
    <row r="12" spans="1:5" ht="15.5" x14ac:dyDescent="0.35">
      <c r="A12" s="13" t="s">
        <v>38</v>
      </c>
      <c r="B12" s="9">
        <v>0.85</v>
      </c>
      <c r="C12" s="12"/>
      <c r="D12" s="13" t="s">
        <v>39</v>
      </c>
      <c r="E12" s="21">
        <v>10606</v>
      </c>
    </row>
    <row r="13" spans="1:5" ht="15.5" x14ac:dyDescent="0.35">
      <c r="A13" s="13" t="s">
        <v>40</v>
      </c>
      <c r="B13" s="10">
        <v>7.0000000000000007E-2</v>
      </c>
      <c r="C13" s="12"/>
      <c r="D13" s="13" t="s">
        <v>41</v>
      </c>
      <c r="E13" s="21">
        <v>10448</v>
      </c>
    </row>
    <row r="14" spans="1:5" ht="15.5" x14ac:dyDescent="0.35">
      <c r="A14" s="13" t="s">
        <v>42</v>
      </c>
      <c r="B14" s="10">
        <v>5.5E-2</v>
      </c>
      <c r="C14" s="12"/>
      <c r="D14" s="15" t="s">
        <v>43</v>
      </c>
      <c r="E14" s="25">
        <v>1.67442956816896</v>
      </c>
    </row>
    <row r="15" spans="1:5" ht="15.5" x14ac:dyDescent="0.35">
      <c r="A15" s="13" t="s">
        <v>44</v>
      </c>
      <c r="B15" s="10">
        <v>0.27900000000000003</v>
      </c>
      <c r="C15" s="12"/>
      <c r="D15" s="15" t="s">
        <v>45</v>
      </c>
      <c r="E15" s="25">
        <v>1.0151225114854501</v>
      </c>
    </row>
    <row r="16" spans="1:5" ht="15" x14ac:dyDescent="0.35">
      <c r="C16" s="12"/>
      <c r="D16" s="23" t="s">
        <v>46</v>
      </c>
      <c r="E16" s="26">
        <v>1.6997511485451799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showGridLines="0" zoomScaleNormal="100" workbookViewId="0">
      <selection activeCell="E15" sqref="E15"/>
    </sheetView>
  </sheetViews>
  <sheetFormatPr defaultColWidth="8.6328125" defaultRowHeight="14.5" x14ac:dyDescent="0.35"/>
  <cols>
    <col min="1" max="1" width="33" customWidth="1"/>
    <col min="2" max="2" width="16" customWidth="1"/>
    <col min="3" max="3" width="3" customWidth="1"/>
    <col min="4" max="4" width="30" customWidth="1"/>
    <col min="5" max="5" width="16" customWidth="1"/>
  </cols>
  <sheetData>
    <row r="1" spans="1:5" ht="16.5" x14ac:dyDescent="0.35">
      <c r="A1" s="41" t="s">
        <v>51</v>
      </c>
      <c r="B1" s="41"/>
      <c r="C1" s="41"/>
      <c r="D1" s="41"/>
      <c r="E1" s="41"/>
    </row>
    <row r="2" spans="1:5" ht="15" x14ac:dyDescent="0.35">
      <c r="A2" s="1" t="s">
        <v>21</v>
      </c>
      <c r="B2" s="11" t="s">
        <v>22</v>
      </c>
      <c r="C2" s="12"/>
      <c r="D2" s="1" t="s">
        <v>23</v>
      </c>
      <c r="E2" s="11" t="s">
        <v>24</v>
      </c>
    </row>
    <row r="3" spans="1:5" ht="15.5" x14ac:dyDescent="0.35">
      <c r="A3" s="13" t="s">
        <v>25</v>
      </c>
      <c r="B3" s="14">
        <v>16539</v>
      </c>
      <c r="C3" s="12"/>
      <c r="D3" s="15" t="s">
        <v>26</v>
      </c>
      <c r="E3" s="16">
        <v>0.1166</v>
      </c>
    </row>
    <row r="4" spans="1:5" ht="15.5" x14ac:dyDescent="0.35">
      <c r="A4" s="13" t="s">
        <v>2</v>
      </c>
      <c r="B4" s="14">
        <v>8718</v>
      </c>
      <c r="C4" s="12"/>
      <c r="D4" s="13" t="s">
        <v>27</v>
      </c>
      <c r="E4" s="17">
        <v>9.3078758949880699E-2</v>
      </c>
    </row>
    <row r="5" spans="1:5" ht="15.5" x14ac:dyDescent="0.35">
      <c r="A5" s="18" t="s">
        <v>3</v>
      </c>
      <c r="B5" s="19">
        <v>7821</v>
      </c>
      <c r="C5" s="12"/>
      <c r="D5" s="13" t="s">
        <v>28</v>
      </c>
      <c r="E5" s="17">
        <v>7.66968973747017E-2</v>
      </c>
    </row>
    <row r="6" spans="1:5" ht="15.5" x14ac:dyDescent="0.35">
      <c r="A6" s="18" t="s">
        <v>29</v>
      </c>
      <c r="B6" s="19">
        <v>4939</v>
      </c>
      <c r="C6" s="12"/>
      <c r="D6" s="13" t="s">
        <v>30</v>
      </c>
      <c r="E6" s="20">
        <v>0.995676802278191</v>
      </c>
    </row>
    <row r="7" spans="1:5" ht="15.5" x14ac:dyDescent="0.35">
      <c r="A7" s="13" t="s">
        <v>31</v>
      </c>
      <c r="B7" s="14">
        <v>39</v>
      </c>
      <c r="C7" s="12"/>
      <c r="D7" s="13" t="s">
        <v>32</v>
      </c>
      <c r="E7" s="20">
        <v>4.3231977218089303E-3</v>
      </c>
    </row>
    <row r="8" spans="1:5" ht="15.5" x14ac:dyDescent="0.35">
      <c r="A8" s="18" t="s">
        <v>6</v>
      </c>
      <c r="B8" s="19">
        <v>4900</v>
      </c>
      <c r="C8" s="12"/>
      <c r="D8" s="13" t="s">
        <v>33</v>
      </c>
      <c r="E8" s="21">
        <v>96919</v>
      </c>
    </row>
    <row r="9" spans="1:5" ht="15" x14ac:dyDescent="0.35">
      <c r="A9" s="18" t="s">
        <v>34</v>
      </c>
      <c r="B9" s="22">
        <v>4001</v>
      </c>
      <c r="C9" s="12"/>
      <c r="D9" s="23" t="s">
        <v>35</v>
      </c>
      <c r="E9" s="24">
        <v>0.116427490997637</v>
      </c>
    </row>
    <row r="10" spans="1:5" ht="15.5" x14ac:dyDescent="0.35">
      <c r="A10" s="13" t="s">
        <v>8</v>
      </c>
      <c r="B10" s="14">
        <v>419</v>
      </c>
      <c r="C10" s="12"/>
    </row>
    <row r="11" spans="1:5" ht="15.5" x14ac:dyDescent="0.35">
      <c r="A11" s="13" t="s">
        <v>36</v>
      </c>
      <c r="B11" s="14">
        <v>96500</v>
      </c>
      <c r="C11" s="12"/>
      <c r="D11" s="13" t="s">
        <v>37</v>
      </c>
      <c r="E11" s="21">
        <v>7821</v>
      </c>
    </row>
    <row r="12" spans="1:5" ht="15.5" x14ac:dyDescent="0.35">
      <c r="A12" s="13" t="s">
        <v>38</v>
      </c>
      <c r="B12" s="9">
        <v>0.82</v>
      </c>
      <c r="C12" s="12"/>
      <c r="D12" s="13" t="s">
        <v>39</v>
      </c>
      <c r="E12" s="21">
        <v>4939</v>
      </c>
    </row>
    <row r="13" spans="1:5" ht="15.5" x14ac:dyDescent="0.35">
      <c r="A13" s="13" t="s">
        <v>40</v>
      </c>
      <c r="B13" s="10">
        <v>7.1499999999999994E-2</v>
      </c>
      <c r="C13" s="12"/>
      <c r="D13" s="13" t="s">
        <v>41</v>
      </c>
      <c r="E13" s="21">
        <v>4900</v>
      </c>
    </row>
    <row r="14" spans="1:5" ht="15.5" x14ac:dyDescent="0.35">
      <c r="A14" s="13" t="s">
        <v>42</v>
      </c>
      <c r="B14" s="10">
        <v>5.5E-2</v>
      </c>
      <c r="C14" s="12"/>
      <c r="D14" s="15" t="s">
        <v>43</v>
      </c>
      <c r="E14" s="25">
        <v>1.58351893095768</v>
      </c>
    </row>
    <row r="15" spans="1:5" ht="15.5" x14ac:dyDescent="0.35">
      <c r="A15" s="13" t="s">
        <v>44</v>
      </c>
      <c r="B15" s="10">
        <v>0.17599999999999999</v>
      </c>
      <c r="C15" s="12"/>
      <c r="D15" s="15" t="s">
        <v>45</v>
      </c>
      <c r="E15" s="25">
        <v>1.00795918367347</v>
      </c>
    </row>
    <row r="16" spans="1:5" ht="15" x14ac:dyDescent="0.35">
      <c r="C16" s="12"/>
      <c r="D16" s="23" t="s">
        <v>46</v>
      </c>
      <c r="E16" s="26">
        <v>1.59612244897959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showGridLines="0" zoomScaleNormal="100" workbookViewId="0">
      <selection activeCell="D21" sqref="D21"/>
    </sheetView>
  </sheetViews>
  <sheetFormatPr defaultColWidth="8.6328125" defaultRowHeight="14.5" x14ac:dyDescent="0.35"/>
  <cols>
    <col min="1" max="1" width="33" customWidth="1"/>
    <col min="2" max="2" width="16" customWidth="1"/>
    <col min="3" max="3" width="3" customWidth="1"/>
    <col min="4" max="4" width="30" customWidth="1"/>
    <col min="5" max="5" width="16" customWidth="1"/>
  </cols>
  <sheetData>
    <row r="1" spans="1:5" ht="16.5" x14ac:dyDescent="0.35">
      <c r="A1" s="41" t="s">
        <v>52</v>
      </c>
      <c r="B1" s="41"/>
      <c r="C1" s="41"/>
      <c r="D1" s="41"/>
      <c r="E1" s="41"/>
    </row>
    <row r="2" spans="1:5" ht="15" x14ac:dyDescent="0.35">
      <c r="A2" s="1" t="s">
        <v>21</v>
      </c>
      <c r="B2" s="11" t="s">
        <v>22</v>
      </c>
      <c r="C2" s="12"/>
      <c r="D2" s="1" t="s">
        <v>23</v>
      </c>
      <c r="E2" s="11" t="s">
        <v>24</v>
      </c>
    </row>
    <row r="3" spans="1:5" ht="15.5" x14ac:dyDescent="0.35">
      <c r="A3" s="13" t="s">
        <v>25</v>
      </c>
      <c r="B3" s="14">
        <v>6933</v>
      </c>
      <c r="C3" s="12"/>
      <c r="D3" s="15" t="s">
        <v>26</v>
      </c>
      <c r="E3" s="16">
        <v>0.17269999999999999</v>
      </c>
    </row>
    <row r="4" spans="1:5" ht="15.5" x14ac:dyDescent="0.35">
      <c r="A4" s="13" t="s">
        <v>2</v>
      </c>
      <c r="B4" s="14">
        <v>5232</v>
      </c>
      <c r="C4" s="12"/>
      <c r="D4" s="13" t="s">
        <v>27</v>
      </c>
      <c r="E4" s="17">
        <v>3.6470588235294099</v>
      </c>
    </row>
    <row r="5" spans="1:5" ht="15.5" x14ac:dyDescent="0.35">
      <c r="A5" s="18" t="s">
        <v>3</v>
      </c>
      <c r="B5" s="19">
        <v>1701</v>
      </c>
      <c r="C5" s="12"/>
      <c r="D5" s="13" t="s">
        <v>28</v>
      </c>
      <c r="E5" s="17">
        <v>2.3596470588235299</v>
      </c>
    </row>
    <row r="6" spans="1:5" ht="15.5" x14ac:dyDescent="0.35">
      <c r="A6" s="18" t="s">
        <v>29</v>
      </c>
      <c r="B6" s="19">
        <v>681</v>
      </c>
      <c r="C6" s="12"/>
      <c r="D6" s="13" t="s">
        <v>30</v>
      </c>
      <c r="E6" s="20">
        <v>0.99800399201596801</v>
      </c>
    </row>
    <row r="7" spans="1:5" ht="15.5" x14ac:dyDescent="0.35">
      <c r="A7" s="13" t="s">
        <v>31</v>
      </c>
      <c r="B7" s="14">
        <v>62</v>
      </c>
      <c r="C7" s="12"/>
      <c r="D7" s="13" t="s">
        <v>32</v>
      </c>
      <c r="E7" s="20">
        <v>1.9960079840319399E-3</v>
      </c>
    </row>
    <row r="8" spans="1:5" ht="15.5" x14ac:dyDescent="0.35">
      <c r="A8" s="18" t="s">
        <v>6</v>
      </c>
      <c r="B8" s="19">
        <v>619</v>
      </c>
      <c r="C8" s="12"/>
      <c r="D8" s="13" t="s">
        <v>33</v>
      </c>
      <c r="E8" s="21">
        <v>8517</v>
      </c>
    </row>
    <row r="9" spans="1:5" ht="15" x14ac:dyDescent="0.35">
      <c r="A9" s="18" t="s">
        <v>34</v>
      </c>
      <c r="B9" s="22">
        <v>399</v>
      </c>
      <c r="C9" s="12"/>
      <c r="D9" s="23" t="s">
        <v>35</v>
      </c>
      <c r="E9" s="24">
        <v>0.17706516379006701</v>
      </c>
    </row>
    <row r="10" spans="1:5" ht="15.5" x14ac:dyDescent="0.35">
      <c r="A10" s="13" t="s">
        <v>8</v>
      </c>
      <c r="B10" s="14">
        <v>17</v>
      </c>
      <c r="C10" s="12"/>
    </row>
    <row r="11" spans="1:5" ht="15.5" x14ac:dyDescent="0.35">
      <c r="A11" s="13" t="s">
        <v>36</v>
      </c>
      <c r="B11" s="14">
        <v>8500</v>
      </c>
      <c r="C11" s="12"/>
      <c r="D11" s="13" t="s">
        <v>37</v>
      </c>
      <c r="E11" s="21">
        <v>1701</v>
      </c>
    </row>
    <row r="12" spans="1:5" ht="15.5" x14ac:dyDescent="0.35">
      <c r="A12" s="13" t="s">
        <v>38</v>
      </c>
      <c r="B12" s="9">
        <v>1.7</v>
      </c>
      <c r="C12" s="12"/>
      <c r="D12" s="13" t="s">
        <v>39</v>
      </c>
      <c r="E12" s="21">
        <v>681</v>
      </c>
    </row>
    <row r="13" spans="1:5" ht="15.5" x14ac:dyDescent="0.35">
      <c r="A13" s="13" t="s">
        <v>40</v>
      </c>
      <c r="B13" s="10">
        <v>6.9000000000000006E-2</v>
      </c>
      <c r="C13" s="12"/>
      <c r="D13" s="13" t="s">
        <v>41</v>
      </c>
      <c r="E13" s="21">
        <v>619</v>
      </c>
    </row>
    <row r="14" spans="1:5" ht="15.5" x14ac:dyDescent="0.35">
      <c r="A14" s="13" t="s">
        <v>42</v>
      </c>
      <c r="B14" s="10">
        <v>6.0999999999999999E-2</v>
      </c>
      <c r="C14" s="12"/>
      <c r="D14" s="15" t="s">
        <v>43</v>
      </c>
      <c r="E14" s="25">
        <v>2.4977973568281899</v>
      </c>
    </row>
    <row r="15" spans="1:5" ht="15.5" x14ac:dyDescent="0.35">
      <c r="A15" s="13" t="s">
        <v>44</v>
      </c>
      <c r="B15" s="10">
        <v>0.35299999999999998</v>
      </c>
      <c r="C15" s="12"/>
      <c r="D15" s="15" t="s">
        <v>45</v>
      </c>
      <c r="E15" s="25">
        <v>1.1001615508885301</v>
      </c>
    </row>
    <row r="16" spans="1:5" ht="15" x14ac:dyDescent="0.35">
      <c r="C16" s="12"/>
      <c r="D16" s="23" t="s">
        <v>46</v>
      </c>
      <c r="E16" s="26">
        <v>2.7479806138933802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8"/>
  <sheetViews>
    <sheetView showGridLines="0" zoomScale="52" zoomScaleNormal="100" workbookViewId="0">
      <selection activeCell="F4" sqref="F4"/>
    </sheetView>
  </sheetViews>
  <sheetFormatPr defaultColWidth="8.6328125" defaultRowHeight="14.5" x14ac:dyDescent="0.35"/>
  <cols>
    <col min="1" max="1" width="24" customWidth="1"/>
    <col min="2" max="2" width="7.90625" bestFit="1" customWidth="1"/>
    <col min="3" max="3" width="19.453125" bestFit="1" customWidth="1"/>
    <col min="4" max="6" width="5.90625" bestFit="1" customWidth="1"/>
    <col min="7" max="7" width="12.08984375" bestFit="1" customWidth="1"/>
    <col min="8" max="8" width="12.36328125" bestFit="1" customWidth="1"/>
    <col min="9" max="9" width="8.08984375" bestFit="1" customWidth="1"/>
    <col min="10" max="10" width="13" customWidth="1"/>
    <col min="11" max="11" width="9" customWidth="1"/>
  </cols>
  <sheetData>
    <row r="1" spans="1:11" ht="31.5" customHeight="1" x14ac:dyDescent="0.35">
      <c r="A1" s="40" t="s">
        <v>53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19.5" customHeight="1" x14ac:dyDescent="0.35">
      <c r="A2" s="2" t="s">
        <v>0</v>
      </c>
      <c r="B2" s="2" t="s">
        <v>35</v>
      </c>
      <c r="C2" s="2" t="s">
        <v>26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</row>
    <row r="3" spans="1:11" ht="15.75" customHeight="1" x14ac:dyDescent="0.35">
      <c r="A3" s="3" t="s">
        <v>14</v>
      </c>
      <c r="B3" s="6">
        <v>0.11090971957175701</v>
      </c>
      <c r="C3" s="6">
        <v>0.110516</v>
      </c>
      <c r="D3" s="27">
        <v>1.19392652033672</v>
      </c>
      <c r="E3" s="27">
        <v>1.00768986840019</v>
      </c>
      <c r="F3" s="27">
        <v>1.2031076581575999</v>
      </c>
      <c r="G3" s="4">
        <v>152913</v>
      </c>
      <c r="H3" s="27">
        <v>9.0399002493765602E-4</v>
      </c>
      <c r="I3" s="27">
        <v>130.90628218331599</v>
      </c>
    </row>
    <row r="4" spans="1:11" ht="15.75" customHeight="1" x14ac:dyDescent="0.35">
      <c r="A4" s="7" t="s">
        <v>15</v>
      </c>
      <c r="B4" s="10">
        <v>0.15460627485638501</v>
      </c>
      <c r="C4" s="10">
        <v>0.15775</v>
      </c>
      <c r="D4" s="28">
        <v>1.3611888716087801</v>
      </c>
      <c r="E4" s="28">
        <v>1.4742071073748599</v>
      </c>
      <c r="F4" s="28">
        <v>2.0066743090052199</v>
      </c>
      <c r="G4" s="8">
        <v>73303</v>
      </c>
      <c r="H4" s="28">
        <v>0.470756062767475</v>
      </c>
      <c r="I4" s="28">
        <v>6.7842907385697497</v>
      </c>
    </row>
    <row r="5" spans="1:11" ht="15.75" customHeight="1" x14ac:dyDescent="0.35">
      <c r="A5" s="3" t="s">
        <v>16</v>
      </c>
      <c r="B5" s="6">
        <v>8.9136748758313705E-2</v>
      </c>
      <c r="C5" s="6">
        <v>8.8900000000000007E-2</v>
      </c>
      <c r="D5" s="27">
        <v>1.4050604651162799</v>
      </c>
      <c r="E5" s="27">
        <v>1.0324625432193599</v>
      </c>
      <c r="F5" s="27">
        <v>1.4506723011909299</v>
      </c>
      <c r="G5" s="4">
        <v>132377</v>
      </c>
      <c r="H5" s="27">
        <v>0.10953764221738101</v>
      </c>
      <c r="I5" s="27">
        <v>31.804733727810699</v>
      </c>
    </row>
    <row r="6" spans="1:11" ht="15.75" customHeight="1" x14ac:dyDescent="0.35">
      <c r="A6" s="7" t="s">
        <v>17</v>
      </c>
      <c r="B6" s="10">
        <v>0.116866517395195</v>
      </c>
      <c r="C6" s="10">
        <v>0.11675000000000001</v>
      </c>
      <c r="D6" s="28">
        <v>1.67442956816896</v>
      </c>
      <c r="E6" s="28">
        <v>1.0151225114854501</v>
      </c>
      <c r="F6" s="28">
        <v>1.6997511485451799</v>
      </c>
      <c r="G6" s="8">
        <v>69829</v>
      </c>
      <c r="H6" s="28">
        <v>7.8098631164447804E-2</v>
      </c>
      <c r="I6" s="28">
        <v>67.126582278480996</v>
      </c>
    </row>
    <row r="7" spans="1:11" ht="15.75" customHeight="1" x14ac:dyDescent="0.35">
      <c r="A7" s="3" t="s">
        <v>18</v>
      </c>
      <c r="B7" s="6">
        <v>0.116427490997637</v>
      </c>
      <c r="C7" s="6">
        <v>0.1166</v>
      </c>
      <c r="D7" s="27">
        <v>1.58351893095768</v>
      </c>
      <c r="E7" s="27">
        <v>1.00795918367347</v>
      </c>
      <c r="F7" s="27">
        <v>1.59612244897959</v>
      </c>
      <c r="G7" s="4">
        <v>16539</v>
      </c>
      <c r="H7" s="27">
        <v>2.3218441759946799E-2</v>
      </c>
      <c r="I7" s="27">
        <v>126.641025641026</v>
      </c>
    </row>
    <row r="8" spans="1:11" ht="15.75" customHeight="1" x14ac:dyDescent="0.35">
      <c r="A8" s="7" t="s">
        <v>19</v>
      </c>
      <c r="B8" s="10">
        <v>0.17706516379006701</v>
      </c>
      <c r="C8" s="10">
        <v>0.17269999999999999</v>
      </c>
      <c r="D8" s="28">
        <v>2.4977973568281899</v>
      </c>
      <c r="E8" s="28">
        <v>1.1001615508885301</v>
      </c>
      <c r="F8" s="28">
        <v>2.7479806138933802</v>
      </c>
      <c r="G8" s="8">
        <v>6933</v>
      </c>
      <c r="H8" s="28">
        <v>5.6050115397296403E-3</v>
      </c>
      <c r="I8" s="28">
        <v>10.9838709677419</v>
      </c>
    </row>
    <row r="10" spans="1:11" ht="7.5" customHeight="1" x14ac:dyDescent="0.35"/>
    <row r="11" spans="1:11" ht="15.75" customHeight="1" x14ac:dyDescent="0.35">
      <c r="A11" s="42" t="s">
        <v>60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</row>
    <row r="12" spans="1:11" ht="15.75" customHeight="1" x14ac:dyDescent="0.35">
      <c r="A12" s="23" t="s">
        <v>16</v>
      </c>
      <c r="B12" s="24">
        <v>8.9136748758313705E-2</v>
      </c>
    </row>
    <row r="13" spans="1:11" ht="15.75" customHeight="1" x14ac:dyDescent="0.35">
      <c r="A13" s="42" t="s">
        <v>61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</row>
    <row r="14" spans="1:11" ht="15.75" customHeight="1" x14ac:dyDescent="0.35">
      <c r="A14" s="23" t="s">
        <v>14</v>
      </c>
      <c r="B14" s="26">
        <v>1.2031076581575999</v>
      </c>
    </row>
    <row r="15" spans="1:11" ht="15.75" customHeight="1" x14ac:dyDescent="0.35">
      <c r="A15" s="42" t="s">
        <v>62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</row>
    <row r="16" spans="1:11" ht="15.75" customHeight="1" x14ac:dyDescent="0.35">
      <c r="A16" s="23" t="s">
        <v>18</v>
      </c>
      <c r="B16" s="24">
        <v>0.241913053993591</v>
      </c>
    </row>
    <row r="17" spans="1:11" ht="15.75" customHeight="1" x14ac:dyDescent="0.35">
      <c r="A17" s="42" t="s">
        <v>63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</row>
    <row r="18" spans="1:11" ht="15.75" customHeight="1" x14ac:dyDescent="0.35">
      <c r="A18" s="29" t="s">
        <v>19</v>
      </c>
      <c r="B18" s="30">
        <v>0.17706516379006701</v>
      </c>
    </row>
  </sheetData>
  <mergeCells count="5">
    <mergeCell ref="A1:K1"/>
    <mergeCell ref="A11:K11"/>
    <mergeCell ref="A13:K13"/>
    <mergeCell ref="A15:K15"/>
    <mergeCell ref="A17:K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28"/>
  <sheetViews>
    <sheetView showGridLines="0" zoomScale="42" zoomScaleNormal="100" workbookViewId="0">
      <selection activeCell="B17" sqref="B17:G17"/>
    </sheetView>
  </sheetViews>
  <sheetFormatPr defaultColWidth="8.6328125" defaultRowHeight="14.5" x14ac:dyDescent="0.35"/>
  <cols>
    <col min="1" max="1" width="3" customWidth="1"/>
    <col min="2" max="2" width="32" customWidth="1"/>
    <col min="3" max="7" width="14" customWidth="1"/>
  </cols>
  <sheetData>
    <row r="1" spans="2:7" ht="31.5" customHeight="1" x14ac:dyDescent="0.35">
      <c r="B1" s="40" t="s">
        <v>64</v>
      </c>
      <c r="C1" s="40"/>
      <c r="D1" s="40"/>
      <c r="E1" s="40"/>
      <c r="F1" s="40"/>
      <c r="G1" s="40"/>
    </row>
    <row r="2" spans="2:7" ht="7.5" customHeight="1" x14ac:dyDescent="0.35"/>
    <row r="3" spans="2:7" ht="19.5" customHeight="1" x14ac:dyDescent="0.35">
      <c r="B3" s="11" t="s">
        <v>0</v>
      </c>
      <c r="C3" s="11" t="s">
        <v>35</v>
      </c>
      <c r="D3" s="11" t="s">
        <v>65</v>
      </c>
      <c r="E3" s="11" t="s">
        <v>54</v>
      </c>
      <c r="F3" s="11" t="s">
        <v>55</v>
      </c>
      <c r="G3" s="11" t="s">
        <v>56</v>
      </c>
    </row>
    <row r="4" spans="2:7" ht="15.75" customHeight="1" x14ac:dyDescent="0.35">
      <c r="B4" s="31" t="s">
        <v>14</v>
      </c>
      <c r="C4" s="32">
        <v>0.11090971957175701</v>
      </c>
      <c r="D4" s="32">
        <v>0.110516</v>
      </c>
      <c r="E4" s="33">
        <v>1.19392652033672</v>
      </c>
      <c r="F4" s="33">
        <v>1.00768986840019</v>
      </c>
      <c r="G4" s="33">
        <v>1.2031076581575999</v>
      </c>
    </row>
    <row r="5" spans="2:7" ht="15.75" customHeight="1" x14ac:dyDescent="0.35">
      <c r="B5" s="7" t="s">
        <v>15</v>
      </c>
      <c r="C5" s="17">
        <v>0.15460627485638501</v>
      </c>
      <c r="D5" s="17">
        <v>0.15775</v>
      </c>
      <c r="E5" s="34">
        <v>1.3611888716087801</v>
      </c>
      <c r="F5" s="34">
        <v>1.4742071073748599</v>
      </c>
      <c r="G5" s="34">
        <v>2.0066743090052199</v>
      </c>
    </row>
    <row r="6" spans="2:7" ht="15.75" customHeight="1" x14ac:dyDescent="0.35">
      <c r="B6" s="31" t="s">
        <v>16</v>
      </c>
      <c r="C6" s="32">
        <v>8.9136748758313705E-2</v>
      </c>
      <c r="D6" s="32">
        <v>8.8900000000000007E-2</v>
      </c>
      <c r="E6" s="33">
        <v>1.4050604651162799</v>
      </c>
      <c r="F6" s="33">
        <v>1.0324625432193599</v>
      </c>
      <c r="G6" s="33">
        <v>1.4506723011909299</v>
      </c>
    </row>
    <row r="7" spans="2:7" ht="15.75" customHeight="1" x14ac:dyDescent="0.35">
      <c r="B7" s="7" t="s">
        <v>17</v>
      </c>
      <c r="C7" s="17">
        <v>0.116866517395195</v>
      </c>
      <c r="D7" s="17">
        <v>0.11675000000000001</v>
      </c>
      <c r="E7" s="34">
        <v>1.67442956816896</v>
      </c>
      <c r="F7" s="34">
        <v>1.0151225114854501</v>
      </c>
      <c r="G7" s="34">
        <v>1.6997511485451799</v>
      </c>
    </row>
    <row r="8" spans="2:7" ht="15.75" customHeight="1" x14ac:dyDescent="0.35">
      <c r="B8" s="31" t="s">
        <v>18</v>
      </c>
      <c r="C8" s="32">
        <v>0.116427490997637</v>
      </c>
      <c r="D8" s="32">
        <v>0.1166</v>
      </c>
      <c r="E8" s="33">
        <v>1.58351893095768</v>
      </c>
      <c r="F8" s="33">
        <v>1.00795918367347</v>
      </c>
      <c r="G8" s="33">
        <v>1.59612244897959</v>
      </c>
    </row>
    <row r="9" spans="2:7" ht="15.75" customHeight="1" x14ac:dyDescent="0.35">
      <c r="B9" s="7" t="s">
        <v>19</v>
      </c>
      <c r="C9" s="17">
        <v>0.17706516379006701</v>
      </c>
      <c r="D9" s="17">
        <v>0.17269999999999999</v>
      </c>
      <c r="E9" s="34">
        <v>2.4977973568281899</v>
      </c>
      <c r="F9" s="34">
        <v>1.1001615508885301</v>
      </c>
      <c r="G9" s="34">
        <v>2.7479806138933802</v>
      </c>
    </row>
    <row r="12" spans="2:7" ht="7.5" customHeight="1" x14ac:dyDescent="0.35"/>
    <row r="13" spans="2:7" ht="19.5" customHeight="1" x14ac:dyDescent="0.35">
      <c r="B13" s="35" t="s">
        <v>66</v>
      </c>
      <c r="C13" s="35"/>
      <c r="D13" s="35"/>
      <c r="E13" s="35"/>
      <c r="F13" s="35"/>
      <c r="G13" s="35"/>
    </row>
    <row r="14" spans="2:7" ht="43.5" customHeight="1" x14ac:dyDescent="0.35">
      <c r="B14" s="39" t="s">
        <v>67</v>
      </c>
      <c r="C14" s="39"/>
      <c r="D14" s="39"/>
      <c r="E14" s="39"/>
      <c r="F14" s="39"/>
      <c r="G14" s="39"/>
    </row>
    <row r="15" spans="2:7" ht="43.5" customHeight="1" x14ac:dyDescent="0.35">
      <c r="B15" s="39" t="s">
        <v>68</v>
      </c>
      <c r="C15" s="39"/>
      <c r="D15" s="39"/>
      <c r="E15" s="39"/>
      <c r="F15" s="39"/>
      <c r="G15" s="39"/>
    </row>
    <row r="16" spans="2:7" ht="43.5" customHeight="1" x14ac:dyDescent="0.35">
      <c r="B16" s="39" t="s">
        <v>69</v>
      </c>
      <c r="C16" s="39"/>
      <c r="D16" s="39"/>
      <c r="E16" s="39"/>
      <c r="F16" s="39"/>
      <c r="G16" s="39"/>
    </row>
    <row r="17" spans="2:7" ht="43.5" customHeight="1" x14ac:dyDescent="0.35">
      <c r="B17" s="39" t="s">
        <v>80</v>
      </c>
      <c r="C17" s="39"/>
      <c r="D17" s="39"/>
      <c r="E17" s="39"/>
      <c r="F17" s="39"/>
      <c r="G17" s="39"/>
    </row>
    <row r="18" spans="2:7" ht="6" customHeight="1" x14ac:dyDescent="0.35"/>
    <row r="19" spans="2:7" ht="19.5" customHeight="1" x14ac:dyDescent="0.35">
      <c r="B19" s="35" t="s">
        <v>70</v>
      </c>
      <c r="C19" s="35"/>
      <c r="D19" s="35"/>
      <c r="E19" s="35"/>
      <c r="F19" s="35"/>
      <c r="G19" s="35"/>
    </row>
    <row r="20" spans="2:7" ht="43.5" customHeight="1" x14ac:dyDescent="0.35">
      <c r="B20" s="39" t="s">
        <v>71</v>
      </c>
      <c r="C20" s="39"/>
      <c r="D20" s="39"/>
      <c r="E20" s="39"/>
      <c r="F20" s="39"/>
      <c r="G20" s="39"/>
    </row>
    <row r="21" spans="2:7" ht="43.5" customHeight="1" x14ac:dyDescent="0.35">
      <c r="B21" s="39" t="s">
        <v>72</v>
      </c>
      <c r="C21" s="39"/>
      <c r="D21" s="39"/>
      <c r="E21" s="39"/>
      <c r="F21" s="39"/>
      <c r="G21" s="39"/>
    </row>
    <row r="22" spans="2:7" ht="43.5" customHeight="1" x14ac:dyDescent="0.35">
      <c r="B22" s="39" t="s">
        <v>73</v>
      </c>
      <c r="C22" s="39"/>
      <c r="D22" s="39"/>
      <c r="E22" s="39"/>
      <c r="F22" s="39"/>
      <c r="G22" s="39"/>
    </row>
    <row r="23" spans="2:7" ht="6" customHeight="1" x14ac:dyDescent="0.35"/>
    <row r="24" spans="2:7" ht="19.5" customHeight="1" x14ac:dyDescent="0.35">
      <c r="B24" s="35" t="s">
        <v>74</v>
      </c>
      <c r="C24" s="35"/>
      <c r="D24" s="35"/>
      <c r="E24" s="35"/>
      <c r="F24" s="35"/>
      <c r="G24" s="35"/>
    </row>
    <row r="25" spans="2:7" ht="43.5" customHeight="1" x14ac:dyDescent="0.35">
      <c r="B25" s="36" t="s">
        <v>75</v>
      </c>
      <c r="C25" s="36"/>
      <c r="D25" s="36"/>
      <c r="E25" s="36"/>
      <c r="F25" s="36"/>
      <c r="G25" s="36"/>
    </row>
    <row r="26" spans="2:7" ht="43.5" customHeight="1" x14ac:dyDescent="0.35">
      <c r="B26" s="36" t="s">
        <v>76</v>
      </c>
      <c r="C26" s="36"/>
      <c r="D26" s="36"/>
      <c r="E26" s="36"/>
      <c r="F26" s="36"/>
      <c r="G26" s="36"/>
    </row>
    <row r="27" spans="2:7" ht="43.5" customHeight="1" x14ac:dyDescent="0.35">
      <c r="B27" s="37" t="s">
        <v>77</v>
      </c>
      <c r="C27" s="37"/>
      <c r="D27" s="37"/>
      <c r="E27" s="37"/>
      <c r="F27" s="37"/>
      <c r="G27" s="37"/>
    </row>
    <row r="28" spans="2:7" ht="43.5" customHeight="1" x14ac:dyDescent="0.35">
      <c r="B28" s="38" t="s">
        <v>78</v>
      </c>
      <c r="C28" s="38"/>
      <c r="D28" s="38"/>
      <c r="E28" s="38"/>
      <c r="F28" s="38"/>
      <c r="G28" s="38"/>
    </row>
  </sheetData>
  <mergeCells count="15">
    <mergeCell ref="B1:G1"/>
    <mergeCell ref="B13:G13"/>
    <mergeCell ref="B14:G14"/>
    <mergeCell ref="B15:G15"/>
    <mergeCell ref="B16:G16"/>
    <mergeCell ref="B17:G17"/>
    <mergeCell ref="B19:G19"/>
    <mergeCell ref="B20:G20"/>
    <mergeCell ref="B21:G21"/>
    <mergeCell ref="B22:G22"/>
    <mergeCell ref="B24:G24"/>
    <mergeCell ref="B25:G25"/>
    <mergeCell ref="B26:G26"/>
    <mergeCell ref="B27:G27"/>
    <mergeCell ref="B28:G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Maruti_Suzuki</vt:lpstr>
      <vt:lpstr>Tata_Motors</vt:lpstr>
      <vt:lpstr>Mahindra_and_Mahindra</vt:lpstr>
      <vt:lpstr>Hyundai_Motor_India</vt:lpstr>
      <vt:lpstr>Royal_Enfield</vt:lpstr>
      <vt:lpstr>Force_Motors</vt:lpstr>
      <vt:lpstr>Industry_Comparison</vt:lpstr>
      <vt:lpstr>Analysis_Recommendation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Megha Sharma</cp:lastModifiedBy>
  <cp:revision>0</cp:revision>
  <dcterms:created xsi:type="dcterms:W3CDTF">2026-03-19T06:54:20Z</dcterms:created>
  <dcterms:modified xsi:type="dcterms:W3CDTF">2026-03-24T20:08:18Z</dcterms:modified>
  <dc:language>en-US</dc:language>
</cp:coreProperties>
</file>